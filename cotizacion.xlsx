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G14" i="1"/>
  <c r="I14" i="1" s="1"/>
  <c r="I35" i="1" s="1"/>
  <c r="I36" i="1" l="1"/>
  <c r="I37" i="1" s="1"/>
</calcChain>
</file>

<file path=xl/sharedStrings.xml><?xml version="1.0" encoding="utf-8"?>
<sst xmlns="http://schemas.openxmlformats.org/spreadsheetml/2006/main" count="29" uniqueCount="28">
  <si>
    <r>
      <rPr>
        <sz val="10"/>
        <rFont val="Trebuchet MS"/>
        <family val="2"/>
      </rPr>
      <t xml:space="preserve">KARLA GUADALUPE AMAYA LOPEZ
</t>
    </r>
    <r>
      <rPr>
        <b/>
        <sz val="10"/>
        <rFont val="Trebuchet MS"/>
        <family val="2"/>
      </rPr>
      <t xml:space="preserve">001 Matriz
</t>
    </r>
    <r>
      <rPr>
        <sz val="10"/>
        <rFont val="Trebuchet MS"/>
        <family val="2"/>
      </rPr>
      <t>CALLE ISRAEL GONZALEZ 153 Modelo, C.P. 83190,
Hermosillo, Sonora Tel. (662) 215-1271
R.F.C. AALK801205TH8</t>
    </r>
  </si>
  <si>
    <t>Cotización #5856  21/10/2025</t>
  </si>
  <si>
    <t xml:space="preserve">Cliente:                                                                                                                               </t>
  </si>
  <si>
    <t>Entregar a:</t>
  </si>
  <si>
    <t>SISTEMA PARA EL DESARROLLO INTEGRAL DE LA FAMILIA
 EN EL MUNICIPIO DE HERMOSILLO SONORA</t>
  </si>
  <si>
    <t>Av Gustavo Hodgers Rico # 56 Col. Modelo
 CP. 83190 Hermosillo, Sonora, Mex.</t>
  </si>
  <si>
    <t>DE HERMOSILLO SONORA</t>
  </si>
  <si>
    <r>
      <t xml:space="preserve">Moneda: </t>
    </r>
    <r>
      <rPr>
        <sz val="8"/>
        <color rgb="FF000000"/>
        <rFont val="Trebuchet MS"/>
        <family val="2"/>
      </rPr>
      <t>MXN</t>
    </r>
  </si>
  <si>
    <t>Av Gustavo Hodgers Rico 56 Modelo</t>
  </si>
  <si>
    <r>
      <t xml:space="preserve">Condiciones de pago: </t>
    </r>
    <r>
      <rPr>
        <sz val="8"/>
        <color rgb="FF000000"/>
        <rFont val="Trebuchet MS"/>
        <family val="2"/>
      </rPr>
      <t>5 dias Vigencia de la cotización.</t>
    </r>
  </si>
  <si>
    <t>Hermosillo Hermosillo Sonora</t>
  </si>
  <si>
    <t>Por medio de la presente y de acuerdo con su solicitud, tenemos el gusto de cotizarle(s)</t>
  </si>
  <si>
    <t>RFC: SDI860724CF2</t>
  </si>
  <si>
    <r>
      <rPr>
        <b/>
        <sz val="7.5"/>
        <color rgb="FFFFFFFF"/>
        <rFont val="Trebuchet MS"/>
        <family val="2"/>
      </rPr>
      <t>Cant.  Unidad</t>
    </r>
  </si>
  <si>
    <r>
      <rPr>
        <b/>
        <sz val="7.5"/>
        <color rgb="FFFFFFFF"/>
        <rFont val="Trebuchet MS"/>
        <family val="2"/>
      </rPr>
      <t>Código</t>
    </r>
  </si>
  <si>
    <r>
      <rPr>
        <b/>
        <sz val="7.5"/>
        <color rgb="FFFFFFFF"/>
        <rFont val="Trebuchet MS"/>
        <family val="2"/>
      </rPr>
      <t>Descripción</t>
    </r>
  </si>
  <si>
    <r>
      <rPr>
        <b/>
        <sz val="7.5"/>
        <color rgb="FFFFFFFF"/>
        <rFont val="Trebuchet MS"/>
        <family val="2"/>
      </rPr>
      <t>Precio Unitario</t>
    </r>
  </si>
  <si>
    <r>
      <rPr>
        <b/>
        <sz val="7.5"/>
        <color rgb="FFFFFFFF"/>
        <rFont val="Trebuchet MS"/>
        <family val="2"/>
      </rPr>
      <t>SubImporte</t>
    </r>
  </si>
  <si>
    <r>
      <rPr>
        <b/>
        <sz val="7.5"/>
        <color rgb="FFFFFFFF"/>
        <rFont val="Trebuchet MS"/>
        <family val="2"/>
      </rPr>
      <t>Total</t>
    </r>
  </si>
  <si>
    <r>
      <rPr>
        <b/>
        <sz val="7.5"/>
        <color rgb="FFFFFFFF"/>
        <rFont val="Trebuchet MS"/>
        <family val="2"/>
      </rPr>
      <t>Localización</t>
    </r>
  </si>
  <si>
    <t>CR2032</t>
  </si>
  <si>
    <t>Pila lithium 3 v cr 2032 sony</t>
  </si>
  <si>
    <t xml:space="preserve"> </t>
  </si>
  <si>
    <r>
      <rPr>
        <b/>
        <sz val="8"/>
        <rFont val="Trebuchet MS"/>
        <family val="2"/>
      </rPr>
      <t>Total de artículos:</t>
    </r>
    <r>
      <rPr>
        <sz val="8"/>
        <rFont val="Trebuchet MS"/>
        <family val="2"/>
      </rPr>
      <t xml:space="preserve">
</t>
    </r>
  </si>
  <si>
    <t>SUJETO A CAMBIO DE PRECIO SIN PREVIO AVISO</t>
  </si>
  <si>
    <t>CANTIDAD CON LETRA: (CINCUENTA PESOS 00/100 M.N)</t>
  </si>
  <si>
    <t>ATENTAMENTE</t>
  </si>
  <si>
    <t>ORTIZ NUÑEZ LIZETH VENTASMODELO@PIPESO.MX (662) 215-1271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</si>
</sst>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$#,##0.000000"/>
    <numFmt numFmtId="165" formatCode="_-&quot;$&quot;* #,##0.000000_-;\-&quot;$&quot;* #,##0.000000_-;_-&quot;$&quot;* &quot;-&quot;??_-;_-@_-"/>
    <numFmt numFmtId="166" formatCode="\$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sz val="7.5"/>
      <name val="Trebuchet MS"/>
      <family val="2"/>
    </font>
    <font>
      <b/>
      <sz val="10"/>
      <color rgb="FFFFFFFF"/>
      <name val="Trebuchet MS"/>
      <family val="2"/>
    </font>
    <font>
      <sz val="10"/>
      <color theme="0"/>
      <name val="Trebuchet MS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8"/>
      <color rgb="FF000000"/>
      <name val="Times New Roman"/>
      <family val="1"/>
    </font>
    <font>
      <b/>
      <sz val="7.5"/>
      <name val="Trebuchet MS"/>
      <family val="2"/>
    </font>
    <font>
      <b/>
      <sz val="7.5"/>
      <color rgb="FFFFFFFF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AD00"/>
        <bgColor indexed="64"/>
      </patternFill>
    </fill>
    <fill>
      <patternFill patternType="solid">
        <fgColor rgb="FFFFAD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2" fontId="10" fillId="2" borderId="0" xfId="1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 vertical="center" shrinkToFit="1"/>
    </xf>
    <xf numFmtId="0" fontId="13" fillId="2" borderId="0" xfId="0" applyFont="1" applyFill="1" applyAlignment="1" applyProtection="1">
      <alignment horizontal="left" vertical="top" wrapText="1"/>
      <protection locked="0"/>
    </xf>
    <xf numFmtId="164" fontId="8" fillId="2" borderId="0" xfId="0" applyNumberFormat="1" applyFont="1" applyFill="1" applyAlignment="1">
      <alignment horizontal="right" vertical="top" shrinkToFit="1"/>
    </xf>
    <xf numFmtId="164" fontId="8" fillId="2" borderId="0" xfId="0" applyNumberFormat="1" applyFont="1" applyFill="1" applyAlignment="1">
      <alignment horizontal="center" vertical="top" shrinkToFit="1"/>
    </xf>
    <xf numFmtId="164" fontId="8" fillId="2" borderId="0" xfId="0" applyNumberFormat="1" applyFont="1" applyFill="1" applyAlignment="1">
      <alignment horizontal="centerContinuous" vertical="top" shrinkToFit="1"/>
    </xf>
    <xf numFmtId="0" fontId="8" fillId="2" borderId="0" xfId="0" applyFont="1" applyFill="1" applyAlignment="1">
      <alignment horizontal="center" vertical="top"/>
    </xf>
    <xf numFmtId="2" fontId="10" fillId="2" borderId="0" xfId="0" applyNumberFormat="1" applyFont="1" applyFill="1" applyAlignment="1" applyProtection="1">
      <alignment horizontal="center"/>
      <protection locked="0"/>
    </xf>
    <xf numFmtId="1" fontId="8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horizontal="left" vertical="top"/>
    </xf>
    <xf numFmtId="2" fontId="10" fillId="2" borderId="0" xfId="0" applyNumberFormat="1" applyFont="1" applyFill="1" applyAlignment="1" applyProtection="1">
      <alignment horizontal="center" vertical="center"/>
      <protection locked="0"/>
    </xf>
    <xf numFmtId="1" fontId="8" fillId="2" borderId="0" xfId="0" applyNumberFormat="1" applyFont="1" applyFill="1" applyAlignment="1">
      <alignment horizontal="center" vertical="center" shrinkToFit="1"/>
    </xf>
    <xf numFmtId="164" fontId="8" fillId="2" borderId="0" xfId="0" applyNumberFormat="1" applyFont="1" applyFill="1" applyAlignment="1">
      <alignment horizontal="right" vertical="center" shrinkToFit="1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 shrinkToFit="1"/>
    </xf>
    <xf numFmtId="1" fontId="8" fillId="2" borderId="0" xfId="0" applyNumberFormat="1" applyFont="1" applyFill="1" applyAlignment="1">
      <alignment horizontal="left" vertical="top" shrinkToFit="1"/>
    </xf>
    <xf numFmtId="2" fontId="10" fillId="0" borderId="0" xfId="0" applyNumberFormat="1" applyFont="1" applyAlignment="1" applyProtection="1">
      <alignment horizontal="center"/>
      <protection locked="0"/>
    </xf>
    <xf numFmtId="1" fontId="8" fillId="0" borderId="0" xfId="0" applyNumberFormat="1" applyFont="1" applyAlignment="1">
      <alignment horizontal="center" vertical="top" shrinkToFit="1"/>
    </xf>
    <xf numFmtId="0" fontId="13" fillId="0" borderId="0" xfId="0" applyFont="1" applyAlignment="1" applyProtection="1">
      <alignment horizontal="left" vertical="top" wrapText="1"/>
      <protection locked="0"/>
    </xf>
    <xf numFmtId="164" fontId="8" fillId="0" borderId="0" xfId="0" applyNumberFormat="1" applyFont="1" applyAlignment="1">
      <alignment horizontal="right" vertical="top" shrinkToFit="1"/>
    </xf>
    <xf numFmtId="164" fontId="8" fillId="0" borderId="0" xfId="0" applyNumberFormat="1" applyFont="1" applyAlignment="1">
      <alignment horizontal="center" vertical="top" shrinkToFit="1"/>
    </xf>
    <xf numFmtId="164" fontId="8" fillId="0" borderId="0" xfId="0" applyNumberFormat="1" applyFont="1" applyAlignment="1">
      <alignment horizontal="centerContinuous" vertical="top" shrinkToFit="1"/>
    </xf>
    <xf numFmtId="0" fontId="13" fillId="0" borderId="0" xfId="0" applyFont="1" applyAlignment="1" applyProtection="1">
      <alignment horizontal="left" vertical="top" wrapText="1"/>
      <protection locked="0"/>
    </xf>
    <xf numFmtId="2" fontId="14" fillId="0" borderId="0" xfId="0" applyNumberFormat="1" applyFont="1" applyAlignment="1">
      <alignment horizontal="center" vertical="center" wrapText="1"/>
    </xf>
    <xf numFmtId="165" fontId="8" fillId="0" borderId="0" xfId="2" applyNumberFormat="1" applyFont="1" applyFill="1" applyAlignment="1">
      <alignment horizontal="right" vertical="top" shrinkToFit="1"/>
    </xf>
    <xf numFmtId="0" fontId="14" fillId="0" borderId="0" xfId="0" applyFont="1" applyAlignment="1">
      <alignment horizontal="left" vertical="top" wrapText="1"/>
    </xf>
    <xf numFmtId="166" fontId="8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centerContinuous" vertical="top"/>
    </xf>
    <xf numFmtId="166" fontId="8" fillId="0" borderId="0" xfId="0" applyNumberFormat="1" applyFont="1" applyAlignment="1">
      <alignment horizontal="centerContinuous" vertical="top" shrinkToFi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2" fontId="14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261521</xdr:colOff>
      <xdr:row>0</xdr:row>
      <xdr:rowOff>0</xdr:rowOff>
    </xdr:from>
    <xdr:ext cx="2014954" cy="839564"/>
    <xdr:pic>
      <xdr:nvPicPr>
        <xdr:cNvPr id="2" name="image1.jpeg">
          <a:extLst>
            <a:ext uri="{FF2B5EF4-FFF2-40B4-BE49-F238E27FC236}">
              <a16:creationId xmlns:a16="http://schemas.microsoft.com/office/drawing/2014/main" id="{A48E5FA8-B95B-4B31-B146-ABC98411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3" name="Group 3">
          <a:extLst>
            <a:ext uri="{FF2B5EF4-FFF2-40B4-BE49-F238E27FC236}">
              <a16:creationId xmlns:a16="http://schemas.microsoft.com/office/drawing/2014/main" id="{1303AFB3-9538-41DB-9F5E-E661F5FBCD9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3BC28ADA-1A78-4DED-8569-C9FACB3975D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A7573D0E-207A-4E1E-82A6-CEEA4DC0309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6" name="image1.jpeg">
          <a:extLst>
            <a:ext uri="{FF2B5EF4-FFF2-40B4-BE49-F238E27FC236}">
              <a16:creationId xmlns:a16="http://schemas.microsoft.com/office/drawing/2014/main" id="{B559C1BF-0FF2-4C6F-ABA3-7B2124FC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7" name="Group 3">
          <a:extLst>
            <a:ext uri="{FF2B5EF4-FFF2-40B4-BE49-F238E27FC236}">
              <a16:creationId xmlns:a16="http://schemas.microsoft.com/office/drawing/2014/main" id="{B34B3221-C9B9-481D-924B-3E347C5A3076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8" name="Shape 4">
            <a:extLst>
              <a:ext uri="{FF2B5EF4-FFF2-40B4-BE49-F238E27FC236}">
                <a16:creationId xmlns:a16="http://schemas.microsoft.com/office/drawing/2014/main" id="{7D6E23E4-CE11-4421-8B88-D2A4A63EA90E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9" name="Textbox 5">
            <a:extLst>
              <a:ext uri="{FF2B5EF4-FFF2-40B4-BE49-F238E27FC236}">
                <a16:creationId xmlns:a16="http://schemas.microsoft.com/office/drawing/2014/main" id="{EFA470DD-74C9-403A-9F30-9195AA83403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0" name="image1.jpeg">
          <a:extLst>
            <a:ext uri="{FF2B5EF4-FFF2-40B4-BE49-F238E27FC236}">
              <a16:creationId xmlns:a16="http://schemas.microsoft.com/office/drawing/2014/main" id="{97ADC2A7-EDF6-4EE6-A3A9-673E5BB8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1" name="Group 3">
          <a:extLst>
            <a:ext uri="{FF2B5EF4-FFF2-40B4-BE49-F238E27FC236}">
              <a16:creationId xmlns:a16="http://schemas.microsoft.com/office/drawing/2014/main" id="{3F6E66BC-C3D6-4494-9BD1-8083C78F00E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2" name="Shape 4">
            <a:extLst>
              <a:ext uri="{FF2B5EF4-FFF2-40B4-BE49-F238E27FC236}">
                <a16:creationId xmlns:a16="http://schemas.microsoft.com/office/drawing/2014/main" id="{6AF87D57-3E66-43AE-9CED-DFEB496FA2C4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3" name="Textbox 5">
            <a:extLst>
              <a:ext uri="{FF2B5EF4-FFF2-40B4-BE49-F238E27FC236}">
                <a16:creationId xmlns:a16="http://schemas.microsoft.com/office/drawing/2014/main" id="{A5857AA3-DD6A-4619-81EA-17D4576FAED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4" name="image1.jpeg">
          <a:extLst>
            <a:ext uri="{FF2B5EF4-FFF2-40B4-BE49-F238E27FC236}">
              <a16:creationId xmlns:a16="http://schemas.microsoft.com/office/drawing/2014/main" id="{84EB7982-DA8D-46E8-995D-2E0CD6512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5" name="Group 3">
          <a:extLst>
            <a:ext uri="{FF2B5EF4-FFF2-40B4-BE49-F238E27FC236}">
              <a16:creationId xmlns:a16="http://schemas.microsoft.com/office/drawing/2014/main" id="{172EA166-4936-4814-B084-06CDAA2B6BBD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6" name="Shape 4">
            <a:extLst>
              <a:ext uri="{FF2B5EF4-FFF2-40B4-BE49-F238E27FC236}">
                <a16:creationId xmlns:a16="http://schemas.microsoft.com/office/drawing/2014/main" id="{295BE254-1871-4837-888F-5DD20C497EAF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7" name="Textbox 5">
            <a:extLst>
              <a:ext uri="{FF2B5EF4-FFF2-40B4-BE49-F238E27FC236}">
                <a16:creationId xmlns:a16="http://schemas.microsoft.com/office/drawing/2014/main" id="{F991F3F1-309F-4C51-A0D6-879A6A5C21E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8" name="image1.jpeg">
          <a:extLst>
            <a:ext uri="{FF2B5EF4-FFF2-40B4-BE49-F238E27FC236}">
              <a16:creationId xmlns:a16="http://schemas.microsoft.com/office/drawing/2014/main" id="{E4E83D2B-0433-48EB-BECF-D566677E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9" name="Group 3">
          <a:extLst>
            <a:ext uri="{FF2B5EF4-FFF2-40B4-BE49-F238E27FC236}">
              <a16:creationId xmlns:a16="http://schemas.microsoft.com/office/drawing/2014/main" id="{3034B7C7-46CA-4FF1-A603-0BB79AEE9A25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0" name="Shape 4">
            <a:extLst>
              <a:ext uri="{FF2B5EF4-FFF2-40B4-BE49-F238E27FC236}">
                <a16:creationId xmlns:a16="http://schemas.microsoft.com/office/drawing/2014/main" id="{44602073-B24A-4342-9B77-D460F00CDEB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1" name="Textbox 5">
            <a:extLst>
              <a:ext uri="{FF2B5EF4-FFF2-40B4-BE49-F238E27FC236}">
                <a16:creationId xmlns:a16="http://schemas.microsoft.com/office/drawing/2014/main" id="{37199592-5E84-4D86-B8A3-06464FDF429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2" name="image1.jpeg">
          <a:extLst>
            <a:ext uri="{FF2B5EF4-FFF2-40B4-BE49-F238E27FC236}">
              <a16:creationId xmlns:a16="http://schemas.microsoft.com/office/drawing/2014/main" id="{9041B54F-7F4F-4FB3-915E-C82DF14B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3" name="Group 3">
          <a:extLst>
            <a:ext uri="{FF2B5EF4-FFF2-40B4-BE49-F238E27FC236}">
              <a16:creationId xmlns:a16="http://schemas.microsoft.com/office/drawing/2014/main" id="{CFA83A6A-5A2C-45D6-8055-0A624ADB516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4" name="Shape 4">
            <a:extLst>
              <a:ext uri="{FF2B5EF4-FFF2-40B4-BE49-F238E27FC236}">
                <a16:creationId xmlns:a16="http://schemas.microsoft.com/office/drawing/2014/main" id="{C39A512A-AE73-4FB2-A624-730F2DD397A8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5" name="Textbox 5">
            <a:extLst>
              <a:ext uri="{FF2B5EF4-FFF2-40B4-BE49-F238E27FC236}">
                <a16:creationId xmlns:a16="http://schemas.microsoft.com/office/drawing/2014/main" id="{0044E446-4707-408E-A93B-1B39A1E56B02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6" name="image1.jpeg">
          <a:extLst>
            <a:ext uri="{FF2B5EF4-FFF2-40B4-BE49-F238E27FC236}">
              <a16:creationId xmlns:a16="http://schemas.microsoft.com/office/drawing/2014/main" id="{9A9D4B64-3858-42B2-A9EB-4CC9A6256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7" name="Group 3">
          <a:extLst>
            <a:ext uri="{FF2B5EF4-FFF2-40B4-BE49-F238E27FC236}">
              <a16:creationId xmlns:a16="http://schemas.microsoft.com/office/drawing/2014/main" id="{F0AC96D4-5EA4-47C7-896F-D0794EB40E8C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8" name="Shape 4">
            <a:extLst>
              <a:ext uri="{FF2B5EF4-FFF2-40B4-BE49-F238E27FC236}">
                <a16:creationId xmlns:a16="http://schemas.microsoft.com/office/drawing/2014/main" id="{920076A0-DF22-43A3-B616-176FB777C1C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9" name="Textbox 5">
            <a:extLst>
              <a:ext uri="{FF2B5EF4-FFF2-40B4-BE49-F238E27FC236}">
                <a16:creationId xmlns:a16="http://schemas.microsoft.com/office/drawing/2014/main" id="{FC38474E-9390-4BBE-A0FA-18BD1E5FDC8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30" name="image1.jpeg">
          <a:extLst>
            <a:ext uri="{FF2B5EF4-FFF2-40B4-BE49-F238E27FC236}">
              <a16:creationId xmlns:a16="http://schemas.microsoft.com/office/drawing/2014/main" id="{7CD48ED9-BF65-4473-8F43-9457A9CC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31" name="Group 3">
          <a:extLst>
            <a:ext uri="{FF2B5EF4-FFF2-40B4-BE49-F238E27FC236}">
              <a16:creationId xmlns:a16="http://schemas.microsoft.com/office/drawing/2014/main" id="{0AEBA5B3-9CB0-4C02-9A50-85CD16595A5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32" name="Shape 4">
            <a:extLst>
              <a:ext uri="{FF2B5EF4-FFF2-40B4-BE49-F238E27FC236}">
                <a16:creationId xmlns:a16="http://schemas.microsoft.com/office/drawing/2014/main" id="{02F86895-5E7D-4B39-A509-AF2AEF0528F1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33" name="Textbox 5">
            <a:extLst>
              <a:ext uri="{FF2B5EF4-FFF2-40B4-BE49-F238E27FC236}">
                <a16:creationId xmlns:a16="http://schemas.microsoft.com/office/drawing/2014/main" id="{7E6E4A67-86C9-422C-9F1A-A114392E67C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34" name="image1.jpeg">
          <a:extLst>
            <a:ext uri="{FF2B5EF4-FFF2-40B4-BE49-F238E27FC236}">
              <a16:creationId xmlns:a16="http://schemas.microsoft.com/office/drawing/2014/main" id="{EC165CB4-EA28-456D-9099-ED3FCD21A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35" name="Group 3">
          <a:extLst>
            <a:ext uri="{FF2B5EF4-FFF2-40B4-BE49-F238E27FC236}">
              <a16:creationId xmlns:a16="http://schemas.microsoft.com/office/drawing/2014/main" id="{8E45C726-F332-4065-A38E-F9A894FA2C3A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36" name="Shape 4">
            <a:extLst>
              <a:ext uri="{FF2B5EF4-FFF2-40B4-BE49-F238E27FC236}">
                <a16:creationId xmlns:a16="http://schemas.microsoft.com/office/drawing/2014/main" id="{38D10F27-B027-4FC8-A16F-707ABEE5282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37" name="Textbox 5">
            <a:extLst>
              <a:ext uri="{FF2B5EF4-FFF2-40B4-BE49-F238E27FC236}">
                <a16:creationId xmlns:a16="http://schemas.microsoft.com/office/drawing/2014/main" id="{3B59741F-D5DB-4085-9C6F-ADF2289E2191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38" name="image1.jpeg">
          <a:extLst>
            <a:ext uri="{FF2B5EF4-FFF2-40B4-BE49-F238E27FC236}">
              <a16:creationId xmlns:a16="http://schemas.microsoft.com/office/drawing/2014/main" id="{41FDCB1E-C5EC-48A7-A4FC-B1B636FB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39" name="Group 3">
          <a:extLst>
            <a:ext uri="{FF2B5EF4-FFF2-40B4-BE49-F238E27FC236}">
              <a16:creationId xmlns:a16="http://schemas.microsoft.com/office/drawing/2014/main" id="{8BC86649-938D-4C77-8020-92DE68250C80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40" name="Shape 4">
            <a:extLst>
              <a:ext uri="{FF2B5EF4-FFF2-40B4-BE49-F238E27FC236}">
                <a16:creationId xmlns:a16="http://schemas.microsoft.com/office/drawing/2014/main" id="{730BA500-3434-42D5-B17F-0CE115C2FAAC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41" name="Textbox 5">
            <a:extLst>
              <a:ext uri="{FF2B5EF4-FFF2-40B4-BE49-F238E27FC236}">
                <a16:creationId xmlns:a16="http://schemas.microsoft.com/office/drawing/2014/main" id="{9F876E2B-1D1C-4BB6-915D-F4CC2E9FFEE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42" name="image1.jpeg">
          <a:extLst>
            <a:ext uri="{FF2B5EF4-FFF2-40B4-BE49-F238E27FC236}">
              <a16:creationId xmlns:a16="http://schemas.microsoft.com/office/drawing/2014/main" id="{BE92CD2C-D93C-420E-A8E4-D7F91855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43" name="Group 3">
          <a:extLst>
            <a:ext uri="{FF2B5EF4-FFF2-40B4-BE49-F238E27FC236}">
              <a16:creationId xmlns:a16="http://schemas.microsoft.com/office/drawing/2014/main" id="{D6AB57DA-FF63-4379-BBC6-B24B1802A827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44" name="Shape 4">
            <a:extLst>
              <a:ext uri="{FF2B5EF4-FFF2-40B4-BE49-F238E27FC236}">
                <a16:creationId xmlns:a16="http://schemas.microsoft.com/office/drawing/2014/main" id="{61CD5476-B182-4D46-AD42-D6A5C0F36F8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45" name="Textbox 5">
            <a:extLst>
              <a:ext uri="{FF2B5EF4-FFF2-40B4-BE49-F238E27FC236}">
                <a16:creationId xmlns:a16="http://schemas.microsoft.com/office/drawing/2014/main" id="{96A39A41-07AC-4964-BB9A-86CB6663348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46" name="image1.jpeg">
          <a:extLst>
            <a:ext uri="{FF2B5EF4-FFF2-40B4-BE49-F238E27FC236}">
              <a16:creationId xmlns:a16="http://schemas.microsoft.com/office/drawing/2014/main" id="{2FDF4E58-B81B-4623-9AAF-CE8182728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47" name="Group 3">
          <a:extLst>
            <a:ext uri="{FF2B5EF4-FFF2-40B4-BE49-F238E27FC236}">
              <a16:creationId xmlns:a16="http://schemas.microsoft.com/office/drawing/2014/main" id="{B69D90C6-4EB8-4D07-9684-FEFD12031ED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48" name="Shape 4">
            <a:extLst>
              <a:ext uri="{FF2B5EF4-FFF2-40B4-BE49-F238E27FC236}">
                <a16:creationId xmlns:a16="http://schemas.microsoft.com/office/drawing/2014/main" id="{512BAC7E-920E-4DB7-94CE-74F2E276E2E0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49" name="Textbox 5">
            <a:extLst>
              <a:ext uri="{FF2B5EF4-FFF2-40B4-BE49-F238E27FC236}">
                <a16:creationId xmlns:a16="http://schemas.microsoft.com/office/drawing/2014/main" id="{B87A366A-D508-43EB-9A88-0B8961F1C618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50" name="image1.jpeg">
          <a:extLst>
            <a:ext uri="{FF2B5EF4-FFF2-40B4-BE49-F238E27FC236}">
              <a16:creationId xmlns:a16="http://schemas.microsoft.com/office/drawing/2014/main" id="{E2E0507A-18E5-4E0C-9C27-1DD93046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51" name="Group 3">
          <a:extLst>
            <a:ext uri="{FF2B5EF4-FFF2-40B4-BE49-F238E27FC236}">
              <a16:creationId xmlns:a16="http://schemas.microsoft.com/office/drawing/2014/main" id="{0BAF6749-1C01-4595-8343-3BCCF35E040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52" name="Shape 4">
            <a:extLst>
              <a:ext uri="{FF2B5EF4-FFF2-40B4-BE49-F238E27FC236}">
                <a16:creationId xmlns:a16="http://schemas.microsoft.com/office/drawing/2014/main" id="{D207182C-30BE-41F3-8326-BD802435F814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53" name="Textbox 5">
            <a:extLst>
              <a:ext uri="{FF2B5EF4-FFF2-40B4-BE49-F238E27FC236}">
                <a16:creationId xmlns:a16="http://schemas.microsoft.com/office/drawing/2014/main" id="{8ECCFBB8-4479-4402-B9E6-8B2EE2D30E8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54" name="image1.jpeg">
          <a:extLst>
            <a:ext uri="{FF2B5EF4-FFF2-40B4-BE49-F238E27FC236}">
              <a16:creationId xmlns:a16="http://schemas.microsoft.com/office/drawing/2014/main" id="{EEF094FC-7B4A-49F6-88F6-8D6A6E3E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55" name="Group 3">
          <a:extLst>
            <a:ext uri="{FF2B5EF4-FFF2-40B4-BE49-F238E27FC236}">
              <a16:creationId xmlns:a16="http://schemas.microsoft.com/office/drawing/2014/main" id="{5B5C7A34-4CE8-471B-8BAF-10B71ED0C93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56" name="Shape 4">
            <a:extLst>
              <a:ext uri="{FF2B5EF4-FFF2-40B4-BE49-F238E27FC236}">
                <a16:creationId xmlns:a16="http://schemas.microsoft.com/office/drawing/2014/main" id="{CC1829A9-6495-405D-B7D5-4A261A416B3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57" name="Textbox 5">
            <a:extLst>
              <a:ext uri="{FF2B5EF4-FFF2-40B4-BE49-F238E27FC236}">
                <a16:creationId xmlns:a16="http://schemas.microsoft.com/office/drawing/2014/main" id="{FB58F7DB-FAB2-43C7-8832-65CDCE317E83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58" name="image1.jpeg">
          <a:extLst>
            <a:ext uri="{FF2B5EF4-FFF2-40B4-BE49-F238E27FC236}">
              <a16:creationId xmlns:a16="http://schemas.microsoft.com/office/drawing/2014/main" id="{7B84DDC6-6B0A-4DB6-BC05-0F449D13E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59" name="Group 3">
          <a:extLst>
            <a:ext uri="{FF2B5EF4-FFF2-40B4-BE49-F238E27FC236}">
              <a16:creationId xmlns:a16="http://schemas.microsoft.com/office/drawing/2014/main" id="{F2E631BE-464B-4E40-9540-25661A1C97A8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60" name="Shape 4">
            <a:extLst>
              <a:ext uri="{FF2B5EF4-FFF2-40B4-BE49-F238E27FC236}">
                <a16:creationId xmlns:a16="http://schemas.microsoft.com/office/drawing/2014/main" id="{75CBD22E-7906-4C38-96D9-EC9FFCA749C8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61" name="Textbox 5">
            <a:extLst>
              <a:ext uri="{FF2B5EF4-FFF2-40B4-BE49-F238E27FC236}">
                <a16:creationId xmlns:a16="http://schemas.microsoft.com/office/drawing/2014/main" id="{8D0C857F-AB2A-4370-8658-2EED492AA7D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62" name="image1.jpeg">
          <a:extLst>
            <a:ext uri="{FF2B5EF4-FFF2-40B4-BE49-F238E27FC236}">
              <a16:creationId xmlns:a16="http://schemas.microsoft.com/office/drawing/2014/main" id="{EA3CEBA2-71C8-41AF-ADB6-533A5938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63" name="Group 3">
          <a:extLst>
            <a:ext uri="{FF2B5EF4-FFF2-40B4-BE49-F238E27FC236}">
              <a16:creationId xmlns:a16="http://schemas.microsoft.com/office/drawing/2014/main" id="{49544B0A-A2AD-487B-9B40-B8F19A0FA88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64" name="Shape 4">
            <a:extLst>
              <a:ext uri="{FF2B5EF4-FFF2-40B4-BE49-F238E27FC236}">
                <a16:creationId xmlns:a16="http://schemas.microsoft.com/office/drawing/2014/main" id="{AD664106-9D0B-478C-8E03-CE16741F348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65" name="Textbox 5">
            <a:extLst>
              <a:ext uri="{FF2B5EF4-FFF2-40B4-BE49-F238E27FC236}">
                <a16:creationId xmlns:a16="http://schemas.microsoft.com/office/drawing/2014/main" id="{528FF43B-393D-4649-A456-C789004E57E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66" name="image1.jpeg">
          <a:extLst>
            <a:ext uri="{FF2B5EF4-FFF2-40B4-BE49-F238E27FC236}">
              <a16:creationId xmlns:a16="http://schemas.microsoft.com/office/drawing/2014/main" id="{455B6FAA-58BE-42B1-A347-22896DAB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67" name="Group 3">
          <a:extLst>
            <a:ext uri="{FF2B5EF4-FFF2-40B4-BE49-F238E27FC236}">
              <a16:creationId xmlns:a16="http://schemas.microsoft.com/office/drawing/2014/main" id="{76160384-1D03-4316-97C1-F0CFD8C13689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68" name="Shape 4">
            <a:extLst>
              <a:ext uri="{FF2B5EF4-FFF2-40B4-BE49-F238E27FC236}">
                <a16:creationId xmlns:a16="http://schemas.microsoft.com/office/drawing/2014/main" id="{640693FC-758E-4428-A2CF-6CC469C20AD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69" name="Textbox 5">
            <a:extLst>
              <a:ext uri="{FF2B5EF4-FFF2-40B4-BE49-F238E27FC236}">
                <a16:creationId xmlns:a16="http://schemas.microsoft.com/office/drawing/2014/main" id="{3D60A5E5-B95E-4CC1-83D0-E4EF9B702F4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70" name="image1.jpeg">
          <a:extLst>
            <a:ext uri="{FF2B5EF4-FFF2-40B4-BE49-F238E27FC236}">
              <a16:creationId xmlns:a16="http://schemas.microsoft.com/office/drawing/2014/main" id="{E447EF83-5CC7-4575-8EF4-122B2A51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71" name="Group 3">
          <a:extLst>
            <a:ext uri="{FF2B5EF4-FFF2-40B4-BE49-F238E27FC236}">
              <a16:creationId xmlns:a16="http://schemas.microsoft.com/office/drawing/2014/main" id="{4616B229-CE0D-4AAA-B7AD-DFFF3F72232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72" name="Shape 4">
            <a:extLst>
              <a:ext uri="{FF2B5EF4-FFF2-40B4-BE49-F238E27FC236}">
                <a16:creationId xmlns:a16="http://schemas.microsoft.com/office/drawing/2014/main" id="{FF4FAC97-5726-47C2-8C58-C13B62F0D86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73" name="Textbox 5">
            <a:extLst>
              <a:ext uri="{FF2B5EF4-FFF2-40B4-BE49-F238E27FC236}">
                <a16:creationId xmlns:a16="http://schemas.microsoft.com/office/drawing/2014/main" id="{4837E087-025D-4904-A1F9-85601955DE31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74" name="image1.jpeg">
          <a:extLst>
            <a:ext uri="{FF2B5EF4-FFF2-40B4-BE49-F238E27FC236}">
              <a16:creationId xmlns:a16="http://schemas.microsoft.com/office/drawing/2014/main" id="{7837A59D-F0FA-473C-8388-5B6871061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75" name="Group 3">
          <a:extLst>
            <a:ext uri="{FF2B5EF4-FFF2-40B4-BE49-F238E27FC236}">
              <a16:creationId xmlns:a16="http://schemas.microsoft.com/office/drawing/2014/main" id="{1E7F09D0-EB6F-40A8-9605-8CBCF3BD4B26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76" name="Shape 4">
            <a:extLst>
              <a:ext uri="{FF2B5EF4-FFF2-40B4-BE49-F238E27FC236}">
                <a16:creationId xmlns:a16="http://schemas.microsoft.com/office/drawing/2014/main" id="{32354229-B9F6-4488-A032-A78B8B1DB24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77" name="Textbox 5">
            <a:extLst>
              <a:ext uri="{FF2B5EF4-FFF2-40B4-BE49-F238E27FC236}">
                <a16:creationId xmlns:a16="http://schemas.microsoft.com/office/drawing/2014/main" id="{FA38A9CF-E6C0-4167-B78D-EE71B48E0C0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78" name="image1.jpeg">
          <a:extLst>
            <a:ext uri="{FF2B5EF4-FFF2-40B4-BE49-F238E27FC236}">
              <a16:creationId xmlns:a16="http://schemas.microsoft.com/office/drawing/2014/main" id="{FF6233FF-6813-481B-BDBF-1A3D7E58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79" name="Group 3">
          <a:extLst>
            <a:ext uri="{FF2B5EF4-FFF2-40B4-BE49-F238E27FC236}">
              <a16:creationId xmlns:a16="http://schemas.microsoft.com/office/drawing/2014/main" id="{F011D06F-5D01-4A51-A535-96C99C0B8DB9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80" name="Shape 4">
            <a:extLst>
              <a:ext uri="{FF2B5EF4-FFF2-40B4-BE49-F238E27FC236}">
                <a16:creationId xmlns:a16="http://schemas.microsoft.com/office/drawing/2014/main" id="{863F0B2A-EE9D-410A-8EEF-AFBA1F11CC0A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81" name="Textbox 5">
            <a:extLst>
              <a:ext uri="{FF2B5EF4-FFF2-40B4-BE49-F238E27FC236}">
                <a16:creationId xmlns:a16="http://schemas.microsoft.com/office/drawing/2014/main" id="{04499998-855F-43F4-937C-18E2818BB4E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82" name="image1.jpeg">
          <a:extLst>
            <a:ext uri="{FF2B5EF4-FFF2-40B4-BE49-F238E27FC236}">
              <a16:creationId xmlns:a16="http://schemas.microsoft.com/office/drawing/2014/main" id="{C5D3B821-AEB5-4622-B410-A3BA864D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83" name="Group 3">
          <a:extLst>
            <a:ext uri="{FF2B5EF4-FFF2-40B4-BE49-F238E27FC236}">
              <a16:creationId xmlns:a16="http://schemas.microsoft.com/office/drawing/2014/main" id="{63232F20-203B-4B6D-B8A6-206B35B1D1A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84" name="Shape 4">
            <a:extLst>
              <a:ext uri="{FF2B5EF4-FFF2-40B4-BE49-F238E27FC236}">
                <a16:creationId xmlns:a16="http://schemas.microsoft.com/office/drawing/2014/main" id="{383624CA-ADB1-4B7F-A322-2AF679098346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85" name="Textbox 5">
            <a:extLst>
              <a:ext uri="{FF2B5EF4-FFF2-40B4-BE49-F238E27FC236}">
                <a16:creationId xmlns:a16="http://schemas.microsoft.com/office/drawing/2014/main" id="{324BA321-5A08-4448-A6CD-10BBA3C9A7B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86" name="image1.jpeg">
          <a:extLst>
            <a:ext uri="{FF2B5EF4-FFF2-40B4-BE49-F238E27FC236}">
              <a16:creationId xmlns:a16="http://schemas.microsoft.com/office/drawing/2014/main" id="{2B80BFDD-0242-4FA5-9A81-3761862B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87" name="Group 3">
          <a:extLst>
            <a:ext uri="{FF2B5EF4-FFF2-40B4-BE49-F238E27FC236}">
              <a16:creationId xmlns:a16="http://schemas.microsoft.com/office/drawing/2014/main" id="{295E60DD-ABA2-42BE-8C6E-FEBB2D363D5F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88" name="Shape 4">
            <a:extLst>
              <a:ext uri="{FF2B5EF4-FFF2-40B4-BE49-F238E27FC236}">
                <a16:creationId xmlns:a16="http://schemas.microsoft.com/office/drawing/2014/main" id="{C36A2D03-B19C-4293-8162-B2D39ADD6D9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89" name="Textbox 5">
            <a:extLst>
              <a:ext uri="{FF2B5EF4-FFF2-40B4-BE49-F238E27FC236}">
                <a16:creationId xmlns:a16="http://schemas.microsoft.com/office/drawing/2014/main" id="{F4FF667B-AC93-48D8-B56B-C6BEED361BEF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90" name="image1.jpeg">
          <a:extLst>
            <a:ext uri="{FF2B5EF4-FFF2-40B4-BE49-F238E27FC236}">
              <a16:creationId xmlns:a16="http://schemas.microsoft.com/office/drawing/2014/main" id="{B0A97743-A184-473C-8382-5A81EC72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91" name="Group 3">
          <a:extLst>
            <a:ext uri="{FF2B5EF4-FFF2-40B4-BE49-F238E27FC236}">
              <a16:creationId xmlns:a16="http://schemas.microsoft.com/office/drawing/2014/main" id="{0B90F304-272E-4EBA-BA3B-9D8E599DD714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92" name="Shape 4">
            <a:extLst>
              <a:ext uri="{FF2B5EF4-FFF2-40B4-BE49-F238E27FC236}">
                <a16:creationId xmlns:a16="http://schemas.microsoft.com/office/drawing/2014/main" id="{BADB27E6-D9D6-4BC4-8256-CD1D2E714ED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93" name="Textbox 5">
            <a:extLst>
              <a:ext uri="{FF2B5EF4-FFF2-40B4-BE49-F238E27FC236}">
                <a16:creationId xmlns:a16="http://schemas.microsoft.com/office/drawing/2014/main" id="{88C3EFE4-EE84-4636-A15E-A85FC83E5662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94" name="image1.jpeg">
          <a:extLst>
            <a:ext uri="{FF2B5EF4-FFF2-40B4-BE49-F238E27FC236}">
              <a16:creationId xmlns:a16="http://schemas.microsoft.com/office/drawing/2014/main" id="{45B322F2-2E0E-44EB-8481-A1B3A38C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95" name="Group 3">
          <a:extLst>
            <a:ext uri="{FF2B5EF4-FFF2-40B4-BE49-F238E27FC236}">
              <a16:creationId xmlns:a16="http://schemas.microsoft.com/office/drawing/2014/main" id="{ECE8FB75-A53A-475E-9A58-D139EBA0FAF2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96" name="Shape 4">
            <a:extLst>
              <a:ext uri="{FF2B5EF4-FFF2-40B4-BE49-F238E27FC236}">
                <a16:creationId xmlns:a16="http://schemas.microsoft.com/office/drawing/2014/main" id="{AC40B4DC-FE13-46CA-B0EE-BA5CBBF6A7E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97" name="Textbox 5">
            <a:extLst>
              <a:ext uri="{FF2B5EF4-FFF2-40B4-BE49-F238E27FC236}">
                <a16:creationId xmlns:a16="http://schemas.microsoft.com/office/drawing/2014/main" id="{8158938D-505D-4230-BBAA-5FFF8F972428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98" name="image1.jpeg">
          <a:extLst>
            <a:ext uri="{FF2B5EF4-FFF2-40B4-BE49-F238E27FC236}">
              <a16:creationId xmlns:a16="http://schemas.microsoft.com/office/drawing/2014/main" id="{C44C59F8-522E-48C8-B416-B00A261C3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99" name="Group 3">
          <a:extLst>
            <a:ext uri="{FF2B5EF4-FFF2-40B4-BE49-F238E27FC236}">
              <a16:creationId xmlns:a16="http://schemas.microsoft.com/office/drawing/2014/main" id="{A16C6E13-F35B-4786-BA0B-F67EAFEE5E02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00" name="Shape 4">
            <a:extLst>
              <a:ext uri="{FF2B5EF4-FFF2-40B4-BE49-F238E27FC236}">
                <a16:creationId xmlns:a16="http://schemas.microsoft.com/office/drawing/2014/main" id="{AFDDEDB7-82CA-4CAD-A4E6-4F73331A0A06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01" name="Textbox 5">
            <a:extLst>
              <a:ext uri="{FF2B5EF4-FFF2-40B4-BE49-F238E27FC236}">
                <a16:creationId xmlns:a16="http://schemas.microsoft.com/office/drawing/2014/main" id="{B59EC94F-B4B9-45F3-9FA7-322DF3F54C0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02" name="image1.jpeg">
          <a:extLst>
            <a:ext uri="{FF2B5EF4-FFF2-40B4-BE49-F238E27FC236}">
              <a16:creationId xmlns:a16="http://schemas.microsoft.com/office/drawing/2014/main" id="{DA5444C3-62AA-4C00-98F3-65E75B92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03" name="Group 3">
          <a:extLst>
            <a:ext uri="{FF2B5EF4-FFF2-40B4-BE49-F238E27FC236}">
              <a16:creationId xmlns:a16="http://schemas.microsoft.com/office/drawing/2014/main" id="{13D55813-3E48-4F60-9FAB-AFD845E4B04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04" name="Shape 4">
            <a:extLst>
              <a:ext uri="{FF2B5EF4-FFF2-40B4-BE49-F238E27FC236}">
                <a16:creationId xmlns:a16="http://schemas.microsoft.com/office/drawing/2014/main" id="{CBB557EA-BA84-4B98-A202-F942F18CD9A9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05" name="Textbox 5">
            <a:extLst>
              <a:ext uri="{FF2B5EF4-FFF2-40B4-BE49-F238E27FC236}">
                <a16:creationId xmlns:a16="http://schemas.microsoft.com/office/drawing/2014/main" id="{FCCEAD9B-972B-4462-A112-59E413558E20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06" name="image1.jpeg">
          <a:extLst>
            <a:ext uri="{FF2B5EF4-FFF2-40B4-BE49-F238E27FC236}">
              <a16:creationId xmlns:a16="http://schemas.microsoft.com/office/drawing/2014/main" id="{B69D2631-4727-4F98-9652-6198C0BB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07" name="Group 3">
          <a:extLst>
            <a:ext uri="{FF2B5EF4-FFF2-40B4-BE49-F238E27FC236}">
              <a16:creationId xmlns:a16="http://schemas.microsoft.com/office/drawing/2014/main" id="{FEBC0039-FDBD-44C3-A131-E1877EDF721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08" name="Shape 4">
            <a:extLst>
              <a:ext uri="{FF2B5EF4-FFF2-40B4-BE49-F238E27FC236}">
                <a16:creationId xmlns:a16="http://schemas.microsoft.com/office/drawing/2014/main" id="{74C8099C-19E9-4376-B35F-13DFC6149A8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09" name="Textbox 5">
            <a:extLst>
              <a:ext uri="{FF2B5EF4-FFF2-40B4-BE49-F238E27FC236}">
                <a16:creationId xmlns:a16="http://schemas.microsoft.com/office/drawing/2014/main" id="{2061B5BB-B475-46D4-BDE3-C2FBE5F692C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10" name="image1.jpeg">
          <a:extLst>
            <a:ext uri="{FF2B5EF4-FFF2-40B4-BE49-F238E27FC236}">
              <a16:creationId xmlns:a16="http://schemas.microsoft.com/office/drawing/2014/main" id="{8B675DAA-2AD3-4DD0-914E-F7007C19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11" name="Group 3">
          <a:extLst>
            <a:ext uri="{FF2B5EF4-FFF2-40B4-BE49-F238E27FC236}">
              <a16:creationId xmlns:a16="http://schemas.microsoft.com/office/drawing/2014/main" id="{19D66623-A509-4E5E-A698-36502245591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12" name="Shape 4">
            <a:extLst>
              <a:ext uri="{FF2B5EF4-FFF2-40B4-BE49-F238E27FC236}">
                <a16:creationId xmlns:a16="http://schemas.microsoft.com/office/drawing/2014/main" id="{341716FC-B44C-45F4-8582-5A4A24EFD53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13" name="Textbox 5">
            <a:extLst>
              <a:ext uri="{FF2B5EF4-FFF2-40B4-BE49-F238E27FC236}">
                <a16:creationId xmlns:a16="http://schemas.microsoft.com/office/drawing/2014/main" id="{D6C6F135-01F6-410C-95EA-907A27B9E293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14" name="image1.jpeg">
          <a:extLst>
            <a:ext uri="{FF2B5EF4-FFF2-40B4-BE49-F238E27FC236}">
              <a16:creationId xmlns:a16="http://schemas.microsoft.com/office/drawing/2014/main" id="{1A78B565-B131-45F2-AEF0-0500062D7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15" name="Group 3">
          <a:extLst>
            <a:ext uri="{FF2B5EF4-FFF2-40B4-BE49-F238E27FC236}">
              <a16:creationId xmlns:a16="http://schemas.microsoft.com/office/drawing/2014/main" id="{8B8CCD58-1CCB-419C-A2DD-42D096C45DC0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16" name="Shape 4">
            <a:extLst>
              <a:ext uri="{FF2B5EF4-FFF2-40B4-BE49-F238E27FC236}">
                <a16:creationId xmlns:a16="http://schemas.microsoft.com/office/drawing/2014/main" id="{512D8F6C-82B8-48C3-AFFD-D3178AE7A51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17" name="Textbox 5">
            <a:extLst>
              <a:ext uri="{FF2B5EF4-FFF2-40B4-BE49-F238E27FC236}">
                <a16:creationId xmlns:a16="http://schemas.microsoft.com/office/drawing/2014/main" id="{700D3F4F-8ACF-4841-AD9A-BC88EBAA599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18" name="image1.jpeg">
          <a:extLst>
            <a:ext uri="{FF2B5EF4-FFF2-40B4-BE49-F238E27FC236}">
              <a16:creationId xmlns:a16="http://schemas.microsoft.com/office/drawing/2014/main" id="{46540438-EF20-4974-8354-24BB3F5F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19" name="Group 3">
          <a:extLst>
            <a:ext uri="{FF2B5EF4-FFF2-40B4-BE49-F238E27FC236}">
              <a16:creationId xmlns:a16="http://schemas.microsoft.com/office/drawing/2014/main" id="{5C9174C6-9CA4-4DD6-B882-1DCECF113DB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20" name="Shape 4">
            <a:extLst>
              <a:ext uri="{FF2B5EF4-FFF2-40B4-BE49-F238E27FC236}">
                <a16:creationId xmlns:a16="http://schemas.microsoft.com/office/drawing/2014/main" id="{1E77376A-0EA1-44C3-A694-8AD28235C92A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21" name="Textbox 5">
            <a:extLst>
              <a:ext uri="{FF2B5EF4-FFF2-40B4-BE49-F238E27FC236}">
                <a16:creationId xmlns:a16="http://schemas.microsoft.com/office/drawing/2014/main" id="{ABDD23A4-D283-4D48-BD6F-CFF19555799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22" name="image1.jpeg">
          <a:extLst>
            <a:ext uri="{FF2B5EF4-FFF2-40B4-BE49-F238E27FC236}">
              <a16:creationId xmlns:a16="http://schemas.microsoft.com/office/drawing/2014/main" id="{4376214D-3BB4-4900-9FC1-A6A0A5A4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23" name="Group 3">
          <a:extLst>
            <a:ext uri="{FF2B5EF4-FFF2-40B4-BE49-F238E27FC236}">
              <a16:creationId xmlns:a16="http://schemas.microsoft.com/office/drawing/2014/main" id="{21FA48D3-1D01-4D40-B952-F61BA02D462D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24" name="Shape 4">
            <a:extLst>
              <a:ext uri="{FF2B5EF4-FFF2-40B4-BE49-F238E27FC236}">
                <a16:creationId xmlns:a16="http://schemas.microsoft.com/office/drawing/2014/main" id="{AB404B58-9AE7-459D-828C-ACD27F53D039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25" name="Textbox 5">
            <a:extLst>
              <a:ext uri="{FF2B5EF4-FFF2-40B4-BE49-F238E27FC236}">
                <a16:creationId xmlns:a16="http://schemas.microsoft.com/office/drawing/2014/main" id="{73446BE8-D23B-420F-A7B1-818AA0D14AB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26" name="image1.jpeg">
          <a:extLst>
            <a:ext uri="{FF2B5EF4-FFF2-40B4-BE49-F238E27FC236}">
              <a16:creationId xmlns:a16="http://schemas.microsoft.com/office/drawing/2014/main" id="{D90B16BC-253C-4317-B5AB-B98F713B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27" name="Group 3">
          <a:extLst>
            <a:ext uri="{FF2B5EF4-FFF2-40B4-BE49-F238E27FC236}">
              <a16:creationId xmlns:a16="http://schemas.microsoft.com/office/drawing/2014/main" id="{63608B98-3691-40B7-96FC-B9DA39477D0F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28" name="Shape 4">
            <a:extLst>
              <a:ext uri="{FF2B5EF4-FFF2-40B4-BE49-F238E27FC236}">
                <a16:creationId xmlns:a16="http://schemas.microsoft.com/office/drawing/2014/main" id="{68FA0FF9-E5C4-4043-98DB-0062B44399F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29" name="Textbox 5">
            <a:extLst>
              <a:ext uri="{FF2B5EF4-FFF2-40B4-BE49-F238E27FC236}">
                <a16:creationId xmlns:a16="http://schemas.microsoft.com/office/drawing/2014/main" id="{23DA30A1-3CAD-4E5D-A0F2-0BD5DE1637D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30" name="image1.jpeg">
          <a:extLst>
            <a:ext uri="{FF2B5EF4-FFF2-40B4-BE49-F238E27FC236}">
              <a16:creationId xmlns:a16="http://schemas.microsoft.com/office/drawing/2014/main" id="{A48E5FA8-B95B-4B31-B146-ABC98411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31" name="Group 3">
          <a:extLst>
            <a:ext uri="{FF2B5EF4-FFF2-40B4-BE49-F238E27FC236}">
              <a16:creationId xmlns:a16="http://schemas.microsoft.com/office/drawing/2014/main" id="{1303AFB3-9538-41DB-9F5E-E661F5FBCD9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32" name="Shape 4">
            <a:extLst>
              <a:ext uri="{FF2B5EF4-FFF2-40B4-BE49-F238E27FC236}">
                <a16:creationId xmlns:a16="http://schemas.microsoft.com/office/drawing/2014/main" id="{3BC28ADA-1A78-4DED-8569-C9FACB3975D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33" name="Textbox 5">
            <a:extLst>
              <a:ext uri="{FF2B5EF4-FFF2-40B4-BE49-F238E27FC236}">
                <a16:creationId xmlns:a16="http://schemas.microsoft.com/office/drawing/2014/main" id="{A7573D0E-207A-4E1E-82A6-CEEA4DC0309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34" name="image1.jpeg">
          <a:extLst>
            <a:ext uri="{FF2B5EF4-FFF2-40B4-BE49-F238E27FC236}">
              <a16:creationId xmlns:a16="http://schemas.microsoft.com/office/drawing/2014/main" id="{B559C1BF-0FF2-4C6F-ABA3-7B2124FC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35" name="Group 3">
          <a:extLst>
            <a:ext uri="{FF2B5EF4-FFF2-40B4-BE49-F238E27FC236}">
              <a16:creationId xmlns:a16="http://schemas.microsoft.com/office/drawing/2014/main" id="{B34B3221-C9B9-481D-924B-3E347C5A3076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36" name="Shape 4">
            <a:extLst>
              <a:ext uri="{FF2B5EF4-FFF2-40B4-BE49-F238E27FC236}">
                <a16:creationId xmlns:a16="http://schemas.microsoft.com/office/drawing/2014/main" id="{7D6E23E4-CE11-4421-8B88-D2A4A63EA90E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37" name="Textbox 5">
            <a:extLst>
              <a:ext uri="{FF2B5EF4-FFF2-40B4-BE49-F238E27FC236}">
                <a16:creationId xmlns:a16="http://schemas.microsoft.com/office/drawing/2014/main" id="{EFA470DD-74C9-403A-9F30-9195AA83403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38" name="image1.jpeg">
          <a:extLst>
            <a:ext uri="{FF2B5EF4-FFF2-40B4-BE49-F238E27FC236}">
              <a16:creationId xmlns:a16="http://schemas.microsoft.com/office/drawing/2014/main" id="{97ADC2A7-EDF6-4EE6-A3A9-673E5BB8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39" name="Group 3">
          <a:extLst>
            <a:ext uri="{FF2B5EF4-FFF2-40B4-BE49-F238E27FC236}">
              <a16:creationId xmlns:a16="http://schemas.microsoft.com/office/drawing/2014/main" id="{3F6E66BC-C3D6-4494-9BD1-8083C78F00E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40" name="Shape 4">
            <a:extLst>
              <a:ext uri="{FF2B5EF4-FFF2-40B4-BE49-F238E27FC236}">
                <a16:creationId xmlns:a16="http://schemas.microsoft.com/office/drawing/2014/main" id="{6AF87D57-3E66-43AE-9CED-DFEB496FA2C4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41" name="Textbox 5">
            <a:extLst>
              <a:ext uri="{FF2B5EF4-FFF2-40B4-BE49-F238E27FC236}">
                <a16:creationId xmlns:a16="http://schemas.microsoft.com/office/drawing/2014/main" id="{A5857AA3-DD6A-4619-81EA-17D4576FAED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42" name="image1.jpeg">
          <a:extLst>
            <a:ext uri="{FF2B5EF4-FFF2-40B4-BE49-F238E27FC236}">
              <a16:creationId xmlns:a16="http://schemas.microsoft.com/office/drawing/2014/main" id="{84EB7982-DA8D-46E8-995D-2E0CD6512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43" name="Group 3">
          <a:extLst>
            <a:ext uri="{FF2B5EF4-FFF2-40B4-BE49-F238E27FC236}">
              <a16:creationId xmlns:a16="http://schemas.microsoft.com/office/drawing/2014/main" id="{172EA166-4936-4814-B084-06CDAA2B6BBD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44" name="Shape 4">
            <a:extLst>
              <a:ext uri="{FF2B5EF4-FFF2-40B4-BE49-F238E27FC236}">
                <a16:creationId xmlns:a16="http://schemas.microsoft.com/office/drawing/2014/main" id="{295BE254-1871-4837-888F-5DD20C497EAF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45" name="Textbox 5">
            <a:extLst>
              <a:ext uri="{FF2B5EF4-FFF2-40B4-BE49-F238E27FC236}">
                <a16:creationId xmlns:a16="http://schemas.microsoft.com/office/drawing/2014/main" id="{F991F3F1-309F-4C51-A0D6-879A6A5C21E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46" name="image1.jpeg">
          <a:extLst>
            <a:ext uri="{FF2B5EF4-FFF2-40B4-BE49-F238E27FC236}">
              <a16:creationId xmlns:a16="http://schemas.microsoft.com/office/drawing/2014/main" id="{E4E83D2B-0433-48EB-BECF-D566677E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47" name="Group 3">
          <a:extLst>
            <a:ext uri="{FF2B5EF4-FFF2-40B4-BE49-F238E27FC236}">
              <a16:creationId xmlns:a16="http://schemas.microsoft.com/office/drawing/2014/main" id="{3034B7C7-46CA-4FF1-A603-0BB79AEE9A25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48" name="Shape 4">
            <a:extLst>
              <a:ext uri="{FF2B5EF4-FFF2-40B4-BE49-F238E27FC236}">
                <a16:creationId xmlns:a16="http://schemas.microsoft.com/office/drawing/2014/main" id="{44602073-B24A-4342-9B77-D460F00CDEB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49" name="Textbox 5">
            <a:extLst>
              <a:ext uri="{FF2B5EF4-FFF2-40B4-BE49-F238E27FC236}">
                <a16:creationId xmlns:a16="http://schemas.microsoft.com/office/drawing/2014/main" id="{37199592-5E84-4D86-B8A3-06464FDF429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50" name="image1.jpeg">
          <a:extLst>
            <a:ext uri="{FF2B5EF4-FFF2-40B4-BE49-F238E27FC236}">
              <a16:creationId xmlns:a16="http://schemas.microsoft.com/office/drawing/2014/main" id="{9041B54F-7F4F-4FB3-915E-C82DF14B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51" name="Group 3">
          <a:extLst>
            <a:ext uri="{FF2B5EF4-FFF2-40B4-BE49-F238E27FC236}">
              <a16:creationId xmlns:a16="http://schemas.microsoft.com/office/drawing/2014/main" id="{CFA83A6A-5A2C-45D6-8055-0A624ADB516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52" name="Shape 4">
            <a:extLst>
              <a:ext uri="{FF2B5EF4-FFF2-40B4-BE49-F238E27FC236}">
                <a16:creationId xmlns:a16="http://schemas.microsoft.com/office/drawing/2014/main" id="{C39A512A-AE73-4FB2-A624-730F2DD397A8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53" name="Textbox 5">
            <a:extLst>
              <a:ext uri="{FF2B5EF4-FFF2-40B4-BE49-F238E27FC236}">
                <a16:creationId xmlns:a16="http://schemas.microsoft.com/office/drawing/2014/main" id="{0044E446-4707-408E-A93B-1B39A1E56B02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54" name="image1.jpeg">
          <a:extLst>
            <a:ext uri="{FF2B5EF4-FFF2-40B4-BE49-F238E27FC236}">
              <a16:creationId xmlns:a16="http://schemas.microsoft.com/office/drawing/2014/main" id="{9A9D4B64-3858-42B2-A9EB-4CC9A6256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55" name="Group 3">
          <a:extLst>
            <a:ext uri="{FF2B5EF4-FFF2-40B4-BE49-F238E27FC236}">
              <a16:creationId xmlns:a16="http://schemas.microsoft.com/office/drawing/2014/main" id="{F0AC96D4-5EA4-47C7-896F-D0794EB40E8C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56" name="Shape 4">
            <a:extLst>
              <a:ext uri="{FF2B5EF4-FFF2-40B4-BE49-F238E27FC236}">
                <a16:creationId xmlns:a16="http://schemas.microsoft.com/office/drawing/2014/main" id="{920076A0-DF22-43A3-B616-176FB777C1C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57" name="Textbox 5">
            <a:extLst>
              <a:ext uri="{FF2B5EF4-FFF2-40B4-BE49-F238E27FC236}">
                <a16:creationId xmlns:a16="http://schemas.microsoft.com/office/drawing/2014/main" id="{FC38474E-9390-4BBE-A0FA-18BD1E5FDC8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58" name="image1.jpeg">
          <a:extLst>
            <a:ext uri="{FF2B5EF4-FFF2-40B4-BE49-F238E27FC236}">
              <a16:creationId xmlns:a16="http://schemas.microsoft.com/office/drawing/2014/main" id="{7CD48ED9-BF65-4473-8F43-9457A9CC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59" name="Group 3">
          <a:extLst>
            <a:ext uri="{FF2B5EF4-FFF2-40B4-BE49-F238E27FC236}">
              <a16:creationId xmlns:a16="http://schemas.microsoft.com/office/drawing/2014/main" id="{0AEBA5B3-9CB0-4C02-9A50-85CD16595A5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60" name="Shape 4">
            <a:extLst>
              <a:ext uri="{FF2B5EF4-FFF2-40B4-BE49-F238E27FC236}">
                <a16:creationId xmlns:a16="http://schemas.microsoft.com/office/drawing/2014/main" id="{02F86895-5E7D-4B39-A509-AF2AEF0528F1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61" name="Textbox 5">
            <a:extLst>
              <a:ext uri="{FF2B5EF4-FFF2-40B4-BE49-F238E27FC236}">
                <a16:creationId xmlns:a16="http://schemas.microsoft.com/office/drawing/2014/main" id="{7E6E4A67-86C9-422C-9F1A-A114392E67C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62" name="image1.jpeg">
          <a:extLst>
            <a:ext uri="{FF2B5EF4-FFF2-40B4-BE49-F238E27FC236}">
              <a16:creationId xmlns:a16="http://schemas.microsoft.com/office/drawing/2014/main" id="{EC165CB4-EA28-456D-9099-ED3FCD21A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63" name="Group 3">
          <a:extLst>
            <a:ext uri="{FF2B5EF4-FFF2-40B4-BE49-F238E27FC236}">
              <a16:creationId xmlns:a16="http://schemas.microsoft.com/office/drawing/2014/main" id="{8E45C726-F332-4065-A38E-F9A894FA2C3A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64" name="Shape 4">
            <a:extLst>
              <a:ext uri="{FF2B5EF4-FFF2-40B4-BE49-F238E27FC236}">
                <a16:creationId xmlns:a16="http://schemas.microsoft.com/office/drawing/2014/main" id="{38D10F27-B027-4FC8-A16F-707ABEE5282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65" name="Textbox 5">
            <a:extLst>
              <a:ext uri="{FF2B5EF4-FFF2-40B4-BE49-F238E27FC236}">
                <a16:creationId xmlns:a16="http://schemas.microsoft.com/office/drawing/2014/main" id="{3B59741F-D5DB-4085-9C6F-ADF2289E2191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66" name="image1.jpeg">
          <a:extLst>
            <a:ext uri="{FF2B5EF4-FFF2-40B4-BE49-F238E27FC236}">
              <a16:creationId xmlns:a16="http://schemas.microsoft.com/office/drawing/2014/main" id="{41FDCB1E-C5EC-48A7-A4FC-B1B636FB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67" name="Group 3">
          <a:extLst>
            <a:ext uri="{FF2B5EF4-FFF2-40B4-BE49-F238E27FC236}">
              <a16:creationId xmlns:a16="http://schemas.microsoft.com/office/drawing/2014/main" id="{8BC86649-938D-4C77-8020-92DE68250C80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68" name="Shape 4">
            <a:extLst>
              <a:ext uri="{FF2B5EF4-FFF2-40B4-BE49-F238E27FC236}">
                <a16:creationId xmlns:a16="http://schemas.microsoft.com/office/drawing/2014/main" id="{730BA500-3434-42D5-B17F-0CE115C2FAAC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69" name="Textbox 5">
            <a:extLst>
              <a:ext uri="{FF2B5EF4-FFF2-40B4-BE49-F238E27FC236}">
                <a16:creationId xmlns:a16="http://schemas.microsoft.com/office/drawing/2014/main" id="{9F876E2B-1D1C-4BB6-915D-F4CC2E9FFEE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70" name="image1.jpeg">
          <a:extLst>
            <a:ext uri="{FF2B5EF4-FFF2-40B4-BE49-F238E27FC236}">
              <a16:creationId xmlns:a16="http://schemas.microsoft.com/office/drawing/2014/main" id="{BE92CD2C-D93C-420E-A8E4-D7F91855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71" name="Group 3">
          <a:extLst>
            <a:ext uri="{FF2B5EF4-FFF2-40B4-BE49-F238E27FC236}">
              <a16:creationId xmlns:a16="http://schemas.microsoft.com/office/drawing/2014/main" id="{D6AB57DA-FF63-4379-BBC6-B24B1802A827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72" name="Shape 4">
            <a:extLst>
              <a:ext uri="{FF2B5EF4-FFF2-40B4-BE49-F238E27FC236}">
                <a16:creationId xmlns:a16="http://schemas.microsoft.com/office/drawing/2014/main" id="{61CD5476-B182-4D46-AD42-D6A5C0F36F8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73" name="Textbox 5">
            <a:extLst>
              <a:ext uri="{FF2B5EF4-FFF2-40B4-BE49-F238E27FC236}">
                <a16:creationId xmlns:a16="http://schemas.microsoft.com/office/drawing/2014/main" id="{96A39A41-07AC-4964-BB9A-86CB6663348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74" name="image1.jpeg">
          <a:extLst>
            <a:ext uri="{FF2B5EF4-FFF2-40B4-BE49-F238E27FC236}">
              <a16:creationId xmlns:a16="http://schemas.microsoft.com/office/drawing/2014/main" id="{2FDF4E58-B81B-4623-9AAF-CE8182728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75" name="Group 3">
          <a:extLst>
            <a:ext uri="{FF2B5EF4-FFF2-40B4-BE49-F238E27FC236}">
              <a16:creationId xmlns:a16="http://schemas.microsoft.com/office/drawing/2014/main" id="{B69D90C6-4EB8-4D07-9684-FEFD12031ED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76" name="Shape 4">
            <a:extLst>
              <a:ext uri="{FF2B5EF4-FFF2-40B4-BE49-F238E27FC236}">
                <a16:creationId xmlns:a16="http://schemas.microsoft.com/office/drawing/2014/main" id="{512BAC7E-920E-4DB7-94CE-74F2E276E2E0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77" name="Textbox 5">
            <a:extLst>
              <a:ext uri="{FF2B5EF4-FFF2-40B4-BE49-F238E27FC236}">
                <a16:creationId xmlns:a16="http://schemas.microsoft.com/office/drawing/2014/main" id="{B87A366A-D508-43EB-9A88-0B8961F1C618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78" name="image1.jpeg">
          <a:extLst>
            <a:ext uri="{FF2B5EF4-FFF2-40B4-BE49-F238E27FC236}">
              <a16:creationId xmlns:a16="http://schemas.microsoft.com/office/drawing/2014/main" id="{E2E0507A-18E5-4E0C-9C27-1DD93046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79" name="Group 3">
          <a:extLst>
            <a:ext uri="{FF2B5EF4-FFF2-40B4-BE49-F238E27FC236}">
              <a16:creationId xmlns:a16="http://schemas.microsoft.com/office/drawing/2014/main" id="{0BAF6749-1C01-4595-8343-3BCCF35E040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80" name="Shape 4">
            <a:extLst>
              <a:ext uri="{FF2B5EF4-FFF2-40B4-BE49-F238E27FC236}">
                <a16:creationId xmlns:a16="http://schemas.microsoft.com/office/drawing/2014/main" id="{D207182C-30BE-41F3-8326-BD802435F814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81" name="Textbox 5">
            <a:extLst>
              <a:ext uri="{FF2B5EF4-FFF2-40B4-BE49-F238E27FC236}">
                <a16:creationId xmlns:a16="http://schemas.microsoft.com/office/drawing/2014/main" id="{8ECCFBB8-4479-4402-B9E6-8B2EE2D30E8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82" name="image1.jpeg">
          <a:extLst>
            <a:ext uri="{FF2B5EF4-FFF2-40B4-BE49-F238E27FC236}">
              <a16:creationId xmlns:a16="http://schemas.microsoft.com/office/drawing/2014/main" id="{EEF094FC-7B4A-49F6-88F6-8D6A6E3E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83" name="Group 3">
          <a:extLst>
            <a:ext uri="{FF2B5EF4-FFF2-40B4-BE49-F238E27FC236}">
              <a16:creationId xmlns:a16="http://schemas.microsoft.com/office/drawing/2014/main" id="{5B5C7A34-4CE8-471B-8BAF-10B71ED0C93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84" name="Shape 4">
            <a:extLst>
              <a:ext uri="{FF2B5EF4-FFF2-40B4-BE49-F238E27FC236}">
                <a16:creationId xmlns:a16="http://schemas.microsoft.com/office/drawing/2014/main" id="{CC1829A9-6495-405D-B7D5-4A261A416B3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85" name="Textbox 5">
            <a:extLst>
              <a:ext uri="{FF2B5EF4-FFF2-40B4-BE49-F238E27FC236}">
                <a16:creationId xmlns:a16="http://schemas.microsoft.com/office/drawing/2014/main" id="{FB58F7DB-FAB2-43C7-8832-65CDCE317E83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86" name="image1.jpeg">
          <a:extLst>
            <a:ext uri="{FF2B5EF4-FFF2-40B4-BE49-F238E27FC236}">
              <a16:creationId xmlns:a16="http://schemas.microsoft.com/office/drawing/2014/main" id="{7B84DDC6-6B0A-4DB6-BC05-0F449D13E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87" name="Group 3">
          <a:extLst>
            <a:ext uri="{FF2B5EF4-FFF2-40B4-BE49-F238E27FC236}">
              <a16:creationId xmlns:a16="http://schemas.microsoft.com/office/drawing/2014/main" id="{F2E631BE-464B-4E40-9540-25661A1C97A8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88" name="Shape 4">
            <a:extLst>
              <a:ext uri="{FF2B5EF4-FFF2-40B4-BE49-F238E27FC236}">
                <a16:creationId xmlns:a16="http://schemas.microsoft.com/office/drawing/2014/main" id="{75CBD22E-7906-4C38-96D9-EC9FFCA749C8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89" name="Textbox 5">
            <a:extLst>
              <a:ext uri="{FF2B5EF4-FFF2-40B4-BE49-F238E27FC236}">
                <a16:creationId xmlns:a16="http://schemas.microsoft.com/office/drawing/2014/main" id="{8D0C857F-AB2A-4370-8658-2EED492AA7D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90" name="image1.jpeg">
          <a:extLst>
            <a:ext uri="{FF2B5EF4-FFF2-40B4-BE49-F238E27FC236}">
              <a16:creationId xmlns:a16="http://schemas.microsoft.com/office/drawing/2014/main" id="{EA3CEBA2-71C8-41AF-ADB6-533A5938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91" name="Group 3">
          <a:extLst>
            <a:ext uri="{FF2B5EF4-FFF2-40B4-BE49-F238E27FC236}">
              <a16:creationId xmlns:a16="http://schemas.microsoft.com/office/drawing/2014/main" id="{49544B0A-A2AD-487B-9B40-B8F19A0FA88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92" name="Shape 4">
            <a:extLst>
              <a:ext uri="{FF2B5EF4-FFF2-40B4-BE49-F238E27FC236}">
                <a16:creationId xmlns:a16="http://schemas.microsoft.com/office/drawing/2014/main" id="{AD664106-9D0B-478C-8E03-CE16741F348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93" name="Textbox 5">
            <a:extLst>
              <a:ext uri="{FF2B5EF4-FFF2-40B4-BE49-F238E27FC236}">
                <a16:creationId xmlns:a16="http://schemas.microsoft.com/office/drawing/2014/main" id="{528FF43B-393D-4649-A456-C789004E57E7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94" name="image1.jpeg">
          <a:extLst>
            <a:ext uri="{FF2B5EF4-FFF2-40B4-BE49-F238E27FC236}">
              <a16:creationId xmlns:a16="http://schemas.microsoft.com/office/drawing/2014/main" id="{455B6FAA-58BE-42B1-A347-22896DAB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95" name="Group 3">
          <a:extLst>
            <a:ext uri="{FF2B5EF4-FFF2-40B4-BE49-F238E27FC236}">
              <a16:creationId xmlns:a16="http://schemas.microsoft.com/office/drawing/2014/main" id="{76160384-1D03-4316-97C1-F0CFD8C13689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196" name="Shape 4">
            <a:extLst>
              <a:ext uri="{FF2B5EF4-FFF2-40B4-BE49-F238E27FC236}">
                <a16:creationId xmlns:a16="http://schemas.microsoft.com/office/drawing/2014/main" id="{640693FC-758E-4428-A2CF-6CC469C20AD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197" name="Textbox 5">
            <a:extLst>
              <a:ext uri="{FF2B5EF4-FFF2-40B4-BE49-F238E27FC236}">
                <a16:creationId xmlns:a16="http://schemas.microsoft.com/office/drawing/2014/main" id="{3D60A5E5-B95E-4CC1-83D0-E4EF9B702F4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198" name="image1.jpeg">
          <a:extLst>
            <a:ext uri="{FF2B5EF4-FFF2-40B4-BE49-F238E27FC236}">
              <a16:creationId xmlns:a16="http://schemas.microsoft.com/office/drawing/2014/main" id="{E447EF83-5CC7-4575-8EF4-122B2A51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199" name="Group 3">
          <a:extLst>
            <a:ext uri="{FF2B5EF4-FFF2-40B4-BE49-F238E27FC236}">
              <a16:creationId xmlns:a16="http://schemas.microsoft.com/office/drawing/2014/main" id="{4616B229-CE0D-4AAA-B7AD-DFFF3F72232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00" name="Shape 4">
            <a:extLst>
              <a:ext uri="{FF2B5EF4-FFF2-40B4-BE49-F238E27FC236}">
                <a16:creationId xmlns:a16="http://schemas.microsoft.com/office/drawing/2014/main" id="{FF4FAC97-5726-47C2-8C58-C13B62F0D86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01" name="Textbox 5">
            <a:extLst>
              <a:ext uri="{FF2B5EF4-FFF2-40B4-BE49-F238E27FC236}">
                <a16:creationId xmlns:a16="http://schemas.microsoft.com/office/drawing/2014/main" id="{4837E087-025D-4904-A1F9-85601955DE31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02" name="image1.jpeg">
          <a:extLst>
            <a:ext uri="{FF2B5EF4-FFF2-40B4-BE49-F238E27FC236}">
              <a16:creationId xmlns:a16="http://schemas.microsoft.com/office/drawing/2014/main" id="{7837A59D-F0FA-473C-8388-5B6871061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03" name="Group 3">
          <a:extLst>
            <a:ext uri="{FF2B5EF4-FFF2-40B4-BE49-F238E27FC236}">
              <a16:creationId xmlns:a16="http://schemas.microsoft.com/office/drawing/2014/main" id="{1E7F09D0-EB6F-40A8-9605-8CBCF3BD4B26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04" name="Shape 4">
            <a:extLst>
              <a:ext uri="{FF2B5EF4-FFF2-40B4-BE49-F238E27FC236}">
                <a16:creationId xmlns:a16="http://schemas.microsoft.com/office/drawing/2014/main" id="{32354229-B9F6-4488-A032-A78B8B1DB24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05" name="Textbox 5">
            <a:extLst>
              <a:ext uri="{FF2B5EF4-FFF2-40B4-BE49-F238E27FC236}">
                <a16:creationId xmlns:a16="http://schemas.microsoft.com/office/drawing/2014/main" id="{FA38A9CF-E6C0-4167-B78D-EE71B48E0C0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06" name="image1.jpeg">
          <a:extLst>
            <a:ext uri="{FF2B5EF4-FFF2-40B4-BE49-F238E27FC236}">
              <a16:creationId xmlns:a16="http://schemas.microsoft.com/office/drawing/2014/main" id="{FF6233FF-6813-481B-BDBF-1A3D7E58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07" name="Group 3">
          <a:extLst>
            <a:ext uri="{FF2B5EF4-FFF2-40B4-BE49-F238E27FC236}">
              <a16:creationId xmlns:a16="http://schemas.microsoft.com/office/drawing/2014/main" id="{F011D06F-5D01-4A51-A535-96C99C0B8DB9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08" name="Shape 4">
            <a:extLst>
              <a:ext uri="{FF2B5EF4-FFF2-40B4-BE49-F238E27FC236}">
                <a16:creationId xmlns:a16="http://schemas.microsoft.com/office/drawing/2014/main" id="{863F0B2A-EE9D-410A-8EEF-AFBA1F11CC0A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09" name="Textbox 5">
            <a:extLst>
              <a:ext uri="{FF2B5EF4-FFF2-40B4-BE49-F238E27FC236}">
                <a16:creationId xmlns:a16="http://schemas.microsoft.com/office/drawing/2014/main" id="{04499998-855F-43F4-937C-18E2818BB4E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10" name="image1.jpeg">
          <a:extLst>
            <a:ext uri="{FF2B5EF4-FFF2-40B4-BE49-F238E27FC236}">
              <a16:creationId xmlns:a16="http://schemas.microsoft.com/office/drawing/2014/main" id="{C5D3B821-AEB5-4622-B410-A3BA864D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11" name="Group 3">
          <a:extLst>
            <a:ext uri="{FF2B5EF4-FFF2-40B4-BE49-F238E27FC236}">
              <a16:creationId xmlns:a16="http://schemas.microsoft.com/office/drawing/2014/main" id="{63232F20-203B-4B6D-B8A6-206B35B1D1A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12" name="Shape 4">
            <a:extLst>
              <a:ext uri="{FF2B5EF4-FFF2-40B4-BE49-F238E27FC236}">
                <a16:creationId xmlns:a16="http://schemas.microsoft.com/office/drawing/2014/main" id="{383624CA-ADB1-4B7F-A322-2AF679098346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13" name="Textbox 5">
            <a:extLst>
              <a:ext uri="{FF2B5EF4-FFF2-40B4-BE49-F238E27FC236}">
                <a16:creationId xmlns:a16="http://schemas.microsoft.com/office/drawing/2014/main" id="{324BA321-5A08-4448-A6CD-10BBA3C9A7B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14" name="image1.jpeg">
          <a:extLst>
            <a:ext uri="{FF2B5EF4-FFF2-40B4-BE49-F238E27FC236}">
              <a16:creationId xmlns:a16="http://schemas.microsoft.com/office/drawing/2014/main" id="{2B80BFDD-0242-4FA5-9A81-3761862B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15" name="Group 3">
          <a:extLst>
            <a:ext uri="{FF2B5EF4-FFF2-40B4-BE49-F238E27FC236}">
              <a16:creationId xmlns:a16="http://schemas.microsoft.com/office/drawing/2014/main" id="{295E60DD-ABA2-42BE-8C6E-FEBB2D363D5F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16" name="Shape 4">
            <a:extLst>
              <a:ext uri="{FF2B5EF4-FFF2-40B4-BE49-F238E27FC236}">
                <a16:creationId xmlns:a16="http://schemas.microsoft.com/office/drawing/2014/main" id="{C36A2D03-B19C-4293-8162-B2D39ADD6D9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17" name="Textbox 5">
            <a:extLst>
              <a:ext uri="{FF2B5EF4-FFF2-40B4-BE49-F238E27FC236}">
                <a16:creationId xmlns:a16="http://schemas.microsoft.com/office/drawing/2014/main" id="{F4FF667B-AC93-48D8-B56B-C6BEED361BEF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18" name="image1.jpeg">
          <a:extLst>
            <a:ext uri="{FF2B5EF4-FFF2-40B4-BE49-F238E27FC236}">
              <a16:creationId xmlns:a16="http://schemas.microsoft.com/office/drawing/2014/main" id="{B0A97743-A184-473C-8382-5A81EC72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19" name="Group 3">
          <a:extLst>
            <a:ext uri="{FF2B5EF4-FFF2-40B4-BE49-F238E27FC236}">
              <a16:creationId xmlns:a16="http://schemas.microsoft.com/office/drawing/2014/main" id="{0B90F304-272E-4EBA-BA3B-9D8E599DD714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20" name="Shape 4">
            <a:extLst>
              <a:ext uri="{FF2B5EF4-FFF2-40B4-BE49-F238E27FC236}">
                <a16:creationId xmlns:a16="http://schemas.microsoft.com/office/drawing/2014/main" id="{BADB27E6-D9D6-4BC4-8256-CD1D2E714ED5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21" name="Textbox 5">
            <a:extLst>
              <a:ext uri="{FF2B5EF4-FFF2-40B4-BE49-F238E27FC236}">
                <a16:creationId xmlns:a16="http://schemas.microsoft.com/office/drawing/2014/main" id="{88C3EFE4-EE84-4636-A15E-A85FC83E5662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22" name="image1.jpeg">
          <a:extLst>
            <a:ext uri="{FF2B5EF4-FFF2-40B4-BE49-F238E27FC236}">
              <a16:creationId xmlns:a16="http://schemas.microsoft.com/office/drawing/2014/main" id="{45B322F2-2E0E-44EB-8481-A1B3A38C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23" name="Group 3">
          <a:extLst>
            <a:ext uri="{FF2B5EF4-FFF2-40B4-BE49-F238E27FC236}">
              <a16:creationId xmlns:a16="http://schemas.microsoft.com/office/drawing/2014/main" id="{ECE8FB75-A53A-475E-9A58-D139EBA0FAF2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24" name="Shape 4">
            <a:extLst>
              <a:ext uri="{FF2B5EF4-FFF2-40B4-BE49-F238E27FC236}">
                <a16:creationId xmlns:a16="http://schemas.microsoft.com/office/drawing/2014/main" id="{AC40B4DC-FE13-46CA-B0EE-BA5CBBF6A7ED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25" name="Textbox 5">
            <a:extLst>
              <a:ext uri="{FF2B5EF4-FFF2-40B4-BE49-F238E27FC236}">
                <a16:creationId xmlns:a16="http://schemas.microsoft.com/office/drawing/2014/main" id="{8158938D-505D-4230-BBAA-5FFF8F972428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26" name="image1.jpeg">
          <a:extLst>
            <a:ext uri="{FF2B5EF4-FFF2-40B4-BE49-F238E27FC236}">
              <a16:creationId xmlns:a16="http://schemas.microsoft.com/office/drawing/2014/main" id="{C44C59F8-522E-48C8-B416-B00A261C3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27" name="Group 3">
          <a:extLst>
            <a:ext uri="{FF2B5EF4-FFF2-40B4-BE49-F238E27FC236}">
              <a16:creationId xmlns:a16="http://schemas.microsoft.com/office/drawing/2014/main" id="{A16C6E13-F35B-4786-BA0B-F67EAFEE5E02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28" name="Shape 4">
            <a:extLst>
              <a:ext uri="{FF2B5EF4-FFF2-40B4-BE49-F238E27FC236}">
                <a16:creationId xmlns:a16="http://schemas.microsoft.com/office/drawing/2014/main" id="{AFDDEDB7-82CA-4CAD-A4E6-4F73331A0A06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29" name="Textbox 5">
            <a:extLst>
              <a:ext uri="{FF2B5EF4-FFF2-40B4-BE49-F238E27FC236}">
                <a16:creationId xmlns:a16="http://schemas.microsoft.com/office/drawing/2014/main" id="{B59EC94F-B4B9-45F3-9FA7-322DF3F54C0E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30" name="image1.jpeg">
          <a:extLst>
            <a:ext uri="{FF2B5EF4-FFF2-40B4-BE49-F238E27FC236}">
              <a16:creationId xmlns:a16="http://schemas.microsoft.com/office/drawing/2014/main" id="{DA5444C3-62AA-4C00-98F3-65E75B92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31" name="Group 3">
          <a:extLst>
            <a:ext uri="{FF2B5EF4-FFF2-40B4-BE49-F238E27FC236}">
              <a16:creationId xmlns:a16="http://schemas.microsoft.com/office/drawing/2014/main" id="{13D55813-3E48-4F60-9FAB-AFD845E4B041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32" name="Shape 4">
            <a:extLst>
              <a:ext uri="{FF2B5EF4-FFF2-40B4-BE49-F238E27FC236}">
                <a16:creationId xmlns:a16="http://schemas.microsoft.com/office/drawing/2014/main" id="{CBB557EA-BA84-4B98-A202-F942F18CD9A9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33" name="Textbox 5">
            <a:extLst>
              <a:ext uri="{FF2B5EF4-FFF2-40B4-BE49-F238E27FC236}">
                <a16:creationId xmlns:a16="http://schemas.microsoft.com/office/drawing/2014/main" id="{FCCEAD9B-972B-4462-A112-59E413558E20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34" name="image1.jpeg">
          <a:extLst>
            <a:ext uri="{FF2B5EF4-FFF2-40B4-BE49-F238E27FC236}">
              <a16:creationId xmlns:a16="http://schemas.microsoft.com/office/drawing/2014/main" id="{B69D2631-4727-4F98-9652-6198C0BB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35" name="Group 3">
          <a:extLst>
            <a:ext uri="{FF2B5EF4-FFF2-40B4-BE49-F238E27FC236}">
              <a16:creationId xmlns:a16="http://schemas.microsoft.com/office/drawing/2014/main" id="{FEBC0039-FDBD-44C3-A131-E1877EDF7213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36" name="Shape 4">
            <a:extLst>
              <a:ext uri="{FF2B5EF4-FFF2-40B4-BE49-F238E27FC236}">
                <a16:creationId xmlns:a16="http://schemas.microsoft.com/office/drawing/2014/main" id="{74C8099C-19E9-4376-B35F-13DFC6149A8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37" name="Textbox 5">
            <a:extLst>
              <a:ext uri="{FF2B5EF4-FFF2-40B4-BE49-F238E27FC236}">
                <a16:creationId xmlns:a16="http://schemas.microsoft.com/office/drawing/2014/main" id="{2061B5BB-B475-46D4-BDE3-C2FBE5F692CD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38" name="image1.jpeg">
          <a:extLst>
            <a:ext uri="{FF2B5EF4-FFF2-40B4-BE49-F238E27FC236}">
              <a16:creationId xmlns:a16="http://schemas.microsoft.com/office/drawing/2014/main" id="{8B675DAA-2AD3-4DD0-914E-F7007C19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39" name="Group 3">
          <a:extLst>
            <a:ext uri="{FF2B5EF4-FFF2-40B4-BE49-F238E27FC236}">
              <a16:creationId xmlns:a16="http://schemas.microsoft.com/office/drawing/2014/main" id="{19D66623-A509-4E5E-A698-36502245591E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40" name="Shape 4">
            <a:extLst>
              <a:ext uri="{FF2B5EF4-FFF2-40B4-BE49-F238E27FC236}">
                <a16:creationId xmlns:a16="http://schemas.microsoft.com/office/drawing/2014/main" id="{341716FC-B44C-45F4-8582-5A4A24EFD532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41" name="Textbox 5">
            <a:extLst>
              <a:ext uri="{FF2B5EF4-FFF2-40B4-BE49-F238E27FC236}">
                <a16:creationId xmlns:a16="http://schemas.microsoft.com/office/drawing/2014/main" id="{D6C6F135-01F6-410C-95EA-907A27B9E293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42" name="image1.jpeg">
          <a:extLst>
            <a:ext uri="{FF2B5EF4-FFF2-40B4-BE49-F238E27FC236}">
              <a16:creationId xmlns:a16="http://schemas.microsoft.com/office/drawing/2014/main" id="{1A78B565-B131-45F2-AEF0-0500062D7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43" name="Group 3">
          <a:extLst>
            <a:ext uri="{FF2B5EF4-FFF2-40B4-BE49-F238E27FC236}">
              <a16:creationId xmlns:a16="http://schemas.microsoft.com/office/drawing/2014/main" id="{8B8CCD58-1CCB-419C-A2DD-42D096C45DC0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44" name="Shape 4">
            <a:extLst>
              <a:ext uri="{FF2B5EF4-FFF2-40B4-BE49-F238E27FC236}">
                <a16:creationId xmlns:a16="http://schemas.microsoft.com/office/drawing/2014/main" id="{512D8F6C-82B8-48C3-AFFD-D3178AE7A513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45" name="Textbox 5">
            <a:extLst>
              <a:ext uri="{FF2B5EF4-FFF2-40B4-BE49-F238E27FC236}">
                <a16:creationId xmlns:a16="http://schemas.microsoft.com/office/drawing/2014/main" id="{700D3F4F-8ACF-4841-AD9A-BC88EBAA599A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46" name="image1.jpeg">
          <a:extLst>
            <a:ext uri="{FF2B5EF4-FFF2-40B4-BE49-F238E27FC236}">
              <a16:creationId xmlns:a16="http://schemas.microsoft.com/office/drawing/2014/main" id="{46540438-EF20-4974-8354-24BB3F5F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47" name="Group 3">
          <a:extLst>
            <a:ext uri="{FF2B5EF4-FFF2-40B4-BE49-F238E27FC236}">
              <a16:creationId xmlns:a16="http://schemas.microsoft.com/office/drawing/2014/main" id="{5C9174C6-9CA4-4DD6-B882-1DCECF113DBB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48" name="Shape 4">
            <a:extLst>
              <a:ext uri="{FF2B5EF4-FFF2-40B4-BE49-F238E27FC236}">
                <a16:creationId xmlns:a16="http://schemas.microsoft.com/office/drawing/2014/main" id="{1E77376A-0EA1-44C3-A694-8AD28235C92A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49" name="Textbox 5">
            <a:extLst>
              <a:ext uri="{FF2B5EF4-FFF2-40B4-BE49-F238E27FC236}">
                <a16:creationId xmlns:a16="http://schemas.microsoft.com/office/drawing/2014/main" id="{ABDD23A4-D283-4D48-BD6F-CFF195557995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50" name="image1.jpeg">
          <a:extLst>
            <a:ext uri="{FF2B5EF4-FFF2-40B4-BE49-F238E27FC236}">
              <a16:creationId xmlns:a16="http://schemas.microsoft.com/office/drawing/2014/main" id="{4376214D-3BB4-4900-9FC1-A6A0A5A4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51" name="Group 3">
          <a:extLst>
            <a:ext uri="{FF2B5EF4-FFF2-40B4-BE49-F238E27FC236}">
              <a16:creationId xmlns:a16="http://schemas.microsoft.com/office/drawing/2014/main" id="{21FA48D3-1D01-4D40-B952-F61BA02D462D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52" name="Shape 4">
            <a:extLst>
              <a:ext uri="{FF2B5EF4-FFF2-40B4-BE49-F238E27FC236}">
                <a16:creationId xmlns:a16="http://schemas.microsoft.com/office/drawing/2014/main" id="{AB404B58-9AE7-459D-828C-ACD27F53D039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53" name="Textbox 5">
            <a:extLst>
              <a:ext uri="{FF2B5EF4-FFF2-40B4-BE49-F238E27FC236}">
                <a16:creationId xmlns:a16="http://schemas.microsoft.com/office/drawing/2014/main" id="{73446BE8-D23B-420F-A7B1-818AA0D14ABC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  <xdr:oneCellAnchor>
    <xdr:from>
      <xdr:col>0</xdr:col>
      <xdr:colOff>261521</xdr:colOff>
      <xdr:row>0</xdr:row>
      <xdr:rowOff>0</xdr:rowOff>
    </xdr:from>
    <xdr:ext cx="2014954" cy="839564"/>
    <xdr:pic>
      <xdr:nvPicPr>
        <xdr:cNvPr id="254" name="image1.jpeg">
          <a:extLst>
            <a:ext uri="{FF2B5EF4-FFF2-40B4-BE49-F238E27FC236}">
              <a16:creationId xmlns:a16="http://schemas.microsoft.com/office/drawing/2014/main" id="{D90B16BC-253C-4317-B5AB-B98F713B1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21" y="0"/>
          <a:ext cx="2014954" cy="839564"/>
        </a:xfrm>
        <a:prstGeom prst="rect">
          <a:avLst/>
        </a:prstGeom>
      </xdr:spPr>
    </xdr:pic>
    <xdr:clientData/>
  </xdr:oneCellAnchor>
  <xdr:oneCellAnchor>
    <xdr:from>
      <xdr:col>6</xdr:col>
      <xdr:colOff>590535</xdr:colOff>
      <xdr:row>33</xdr:row>
      <xdr:rowOff>130176</xdr:rowOff>
    </xdr:from>
    <xdr:ext cx="638189" cy="704850"/>
    <xdr:grpSp>
      <xdr:nvGrpSpPr>
        <xdr:cNvPr id="255" name="Group 3">
          <a:extLst>
            <a:ext uri="{FF2B5EF4-FFF2-40B4-BE49-F238E27FC236}">
              <a16:creationId xmlns:a16="http://schemas.microsoft.com/office/drawing/2014/main" id="{63608B98-3691-40B7-96FC-B9DA39477D0F}"/>
            </a:ext>
          </a:extLst>
        </xdr:cNvPr>
        <xdr:cNvGrpSpPr/>
      </xdr:nvGrpSpPr>
      <xdr:grpSpPr>
        <a:xfrm>
          <a:off x="6907515" y="6119496"/>
          <a:ext cx="638189" cy="704850"/>
          <a:chOff x="-39025" y="-16411"/>
          <a:chExt cx="462681" cy="629137"/>
        </a:xfrm>
      </xdr:grpSpPr>
      <xdr:sp macro="" textlink="">
        <xdr:nvSpPr>
          <xdr:cNvPr id="256" name="Shape 4">
            <a:extLst>
              <a:ext uri="{FF2B5EF4-FFF2-40B4-BE49-F238E27FC236}">
                <a16:creationId xmlns:a16="http://schemas.microsoft.com/office/drawing/2014/main" id="{68FA0FF9-E5C4-4043-98DB-0062B44399F7}"/>
              </a:ext>
            </a:extLst>
          </xdr:cNvPr>
          <xdr:cNvSpPr/>
        </xdr:nvSpPr>
        <xdr:spPr>
          <a:xfrm>
            <a:off x="-39025" y="-16411"/>
            <a:ext cx="460375" cy="497840"/>
          </a:xfrm>
          <a:custGeom>
            <a:avLst/>
            <a:gdLst/>
            <a:ahLst/>
            <a:cxnLst/>
            <a:rect l="0" t="0" r="0" b="0"/>
            <a:pathLst>
              <a:path w="460375" h="497840">
                <a:moveTo>
                  <a:pt x="459854" y="0"/>
                </a:moveTo>
                <a:lnTo>
                  <a:pt x="0" y="0"/>
                </a:lnTo>
                <a:lnTo>
                  <a:pt x="0" y="165849"/>
                </a:lnTo>
                <a:lnTo>
                  <a:pt x="0" y="331698"/>
                </a:lnTo>
                <a:lnTo>
                  <a:pt x="0" y="497547"/>
                </a:lnTo>
                <a:lnTo>
                  <a:pt x="459854" y="497547"/>
                </a:lnTo>
                <a:lnTo>
                  <a:pt x="459854" y="331698"/>
                </a:lnTo>
                <a:lnTo>
                  <a:pt x="459854" y="165849"/>
                </a:lnTo>
                <a:lnTo>
                  <a:pt x="459854" y="0"/>
                </a:lnTo>
                <a:close/>
              </a:path>
            </a:pathLst>
          </a:custGeom>
          <a:solidFill>
            <a:srgbClr val="FFAD00"/>
          </a:solidFill>
        </xdr:spPr>
      </xdr:sp>
      <xdr:sp macro="" textlink="">
        <xdr:nvSpPr>
          <xdr:cNvPr id="257" name="Textbox 5">
            <a:extLst>
              <a:ext uri="{FF2B5EF4-FFF2-40B4-BE49-F238E27FC236}">
                <a16:creationId xmlns:a16="http://schemas.microsoft.com/office/drawing/2014/main" id="{23DA30A1-3CAD-4E5D-A0F2-0BD5DE1637D4}"/>
              </a:ext>
            </a:extLst>
          </xdr:cNvPr>
          <xdr:cNvSpPr txBox="1"/>
        </xdr:nvSpPr>
        <xdr:spPr>
          <a:xfrm>
            <a:off x="-7803" y="34145"/>
            <a:ext cx="431459" cy="578581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Import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e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IV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1000" b="1" spc="3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16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%</a:t>
            </a:r>
          </a:p>
          <a:p>
            <a:r>
              <a:rPr sz="1000" b="1" spc="-5">
                <a:solidFill>
                  <a:srgbClr val="FFFFFF"/>
                </a:solidFill>
                <a:latin typeface="Trebuchet MS"/>
                <a:cs typeface="Trebuchet MS"/>
              </a:rPr>
              <a:t>Tota</a:t>
            </a:r>
            <a:r>
              <a:rPr sz="1000" b="1" spc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selection sqref="A1:XFD1048576"/>
    </sheetView>
  </sheetViews>
  <sheetFormatPr baseColWidth="10" defaultColWidth="9.33203125" defaultRowHeight="14.4" x14ac:dyDescent="0.3"/>
  <cols>
    <col min="1" max="1" width="19.6640625" style="1" customWidth="1"/>
    <col min="2" max="2" width="10.44140625" style="1" customWidth="1"/>
    <col min="3" max="3" width="17.33203125" style="1" bestFit="1" customWidth="1"/>
    <col min="4" max="4" width="15" style="1" customWidth="1"/>
    <col min="5" max="5" width="17.6640625" style="1" customWidth="1"/>
    <col min="6" max="6" width="12" style="1" customWidth="1"/>
    <col min="7" max="7" width="13.109375" style="1" bestFit="1" customWidth="1"/>
    <col min="8" max="8" width="9.33203125" style="1"/>
    <col min="9" max="9" width="10.77734375" style="1" customWidth="1"/>
    <col min="10" max="16384" width="9.33203125" style="1"/>
  </cols>
  <sheetData>
    <row r="1" spans="1:11" ht="57.9" customHeight="1" x14ac:dyDescent="0.3">
      <c r="B1" s="2"/>
      <c r="C1" s="2"/>
      <c r="D1" s="3" t="s">
        <v>0</v>
      </c>
      <c r="E1" s="3"/>
      <c r="F1" s="3"/>
      <c r="G1" s="3"/>
      <c r="H1" s="3"/>
      <c r="I1" s="4" t="s">
        <v>1</v>
      </c>
      <c r="J1" s="4"/>
      <c r="K1" s="4"/>
    </row>
    <row r="2" spans="1:11" x14ac:dyDescent="0.3">
      <c r="D2" s="3"/>
      <c r="E2" s="3"/>
      <c r="F2" s="3"/>
      <c r="G2" s="3"/>
      <c r="H2" s="3"/>
    </row>
    <row r="3" spans="1:11" x14ac:dyDescent="0.3">
      <c r="D3" s="3"/>
      <c r="E3" s="3"/>
      <c r="F3" s="3"/>
      <c r="G3" s="3"/>
      <c r="H3" s="3"/>
    </row>
    <row r="6" spans="1:11" x14ac:dyDescent="0.3">
      <c r="A6" s="5" t="s">
        <v>2</v>
      </c>
      <c r="B6" s="5"/>
      <c r="C6" s="5"/>
      <c r="D6" s="6"/>
      <c r="E6" s="7" t="s">
        <v>3</v>
      </c>
      <c r="F6" s="7"/>
      <c r="G6" s="7"/>
      <c r="H6" s="7"/>
      <c r="I6" s="7"/>
      <c r="J6" s="7"/>
      <c r="K6" s="7"/>
    </row>
    <row r="7" spans="1:11" ht="27" customHeight="1" x14ac:dyDescent="0.3">
      <c r="A7" s="8" t="s">
        <v>4</v>
      </c>
      <c r="B7" s="8"/>
      <c r="C7" s="8"/>
      <c r="E7" s="8" t="s">
        <v>5</v>
      </c>
      <c r="F7" s="8"/>
      <c r="G7" s="8"/>
      <c r="H7" s="8"/>
      <c r="I7" s="8"/>
      <c r="J7" s="8"/>
      <c r="K7" s="8"/>
    </row>
    <row r="8" spans="1:11" x14ac:dyDescent="0.3">
      <c r="A8" s="9" t="s">
        <v>6</v>
      </c>
      <c r="B8" s="9"/>
      <c r="C8" s="9"/>
      <c r="E8" s="10" t="s">
        <v>7</v>
      </c>
      <c r="F8" s="10"/>
      <c r="G8" s="10"/>
      <c r="H8" s="10"/>
      <c r="I8" s="10"/>
      <c r="J8" s="10"/>
      <c r="K8" s="10"/>
    </row>
    <row r="9" spans="1:11" x14ac:dyDescent="0.3">
      <c r="A9" s="9" t="s">
        <v>8</v>
      </c>
      <c r="B9" s="9"/>
      <c r="C9" s="9"/>
      <c r="E9" s="10" t="s">
        <v>9</v>
      </c>
      <c r="F9" s="10"/>
      <c r="G9" s="10"/>
      <c r="H9" s="10"/>
      <c r="I9" s="10"/>
      <c r="J9" s="10"/>
      <c r="K9" s="10"/>
    </row>
    <row r="10" spans="1:11" x14ac:dyDescent="0.3">
      <c r="A10" s="9" t="s">
        <v>10</v>
      </c>
      <c r="B10" s="9"/>
      <c r="C10" s="9"/>
      <c r="E10" s="9" t="s">
        <v>11</v>
      </c>
      <c r="F10" s="9"/>
      <c r="G10" s="9"/>
      <c r="H10" s="9"/>
      <c r="I10" s="9"/>
      <c r="J10" s="9"/>
      <c r="K10" s="9"/>
    </row>
    <row r="11" spans="1:11" x14ac:dyDescent="0.3">
      <c r="A11" s="9" t="s">
        <v>12</v>
      </c>
      <c r="B11" s="9"/>
      <c r="C11" s="9"/>
      <c r="E11" s="11"/>
      <c r="F11" s="11"/>
      <c r="G11" s="11"/>
      <c r="H11" s="11"/>
      <c r="I11" s="11"/>
      <c r="J11" s="11"/>
      <c r="K11" s="11"/>
    </row>
    <row r="12" spans="1:11" x14ac:dyDescent="0.3">
      <c r="A12" s="12"/>
      <c r="B12" s="12"/>
      <c r="C12" s="12"/>
      <c r="E12" s="11"/>
      <c r="G12" s="11"/>
      <c r="H12" s="11"/>
      <c r="I12" s="11"/>
      <c r="J12" s="11"/>
      <c r="K12" s="11"/>
    </row>
    <row r="13" spans="1:11" ht="18.75" customHeight="1" x14ac:dyDescent="0.3">
      <c r="A13" s="13" t="s">
        <v>13</v>
      </c>
      <c r="B13" s="13" t="s">
        <v>14</v>
      </c>
      <c r="C13" s="14" t="s">
        <v>15</v>
      </c>
      <c r="D13" s="14"/>
      <c r="E13" s="14"/>
      <c r="F13" s="13" t="s">
        <v>16</v>
      </c>
      <c r="G13" s="14" t="s">
        <v>17</v>
      </c>
      <c r="H13" s="14"/>
      <c r="I13" s="13" t="s">
        <v>18</v>
      </c>
      <c r="J13" s="14" t="s">
        <v>19</v>
      </c>
      <c r="K13" s="14"/>
    </row>
    <row r="14" spans="1:11" ht="12.6" customHeight="1" x14ac:dyDescent="0.3">
      <c r="A14" s="15">
        <v>1</v>
      </c>
      <c r="B14" s="16" t="s">
        <v>20</v>
      </c>
      <c r="C14" s="17" t="s">
        <v>21</v>
      </c>
      <c r="D14" s="17"/>
      <c r="E14" s="17"/>
      <c r="F14" s="18">
        <v>43.103400000000001</v>
      </c>
      <c r="G14" s="19">
        <f>F14</f>
        <v>43.103400000000001</v>
      </c>
      <c r="H14" s="19"/>
      <c r="I14" s="20">
        <f>G14*A14</f>
        <v>43.103400000000001</v>
      </c>
      <c r="J14" s="21"/>
      <c r="K14" s="21"/>
    </row>
    <row r="15" spans="1:11" ht="11.25" customHeight="1" x14ac:dyDescent="0.2">
      <c r="A15" s="22"/>
      <c r="B15" s="23"/>
      <c r="C15" s="17"/>
      <c r="D15" s="17"/>
      <c r="E15" s="17"/>
      <c r="F15" s="18"/>
      <c r="G15" s="19"/>
      <c r="H15" s="19"/>
      <c r="I15" s="20"/>
      <c r="J15" s="21"/>
      <c r="K15" s="21"/>
    </row>
    <row r="16" spans="1:11" ht="11.25" customHeight="1" x14ac:dyDescent="0.2">
      <c r="A16" s="22"/>
      <c r="B16" s="23"/>
      <c r="C16" s="17"/>
      <c r="D16" s="17"/>
      <c r="E16" s="17"/>
      <c r="F16" s="18"/>
      <c r="G16" s="19"/>
      <c r="H16" s="19"/>
      <c r="I16" s="20"/>
      <c r="J16" s="24"/>
      <c r="K16" s="24"/>
    </row>
    <row r="17" spans="1:11" ht="11.1" customHeight="1" x14ac:dyDescent="0.3">
      <c r="A17" s="25"/>
      <c r="B17" s="26"/>
      <c r="C17" s="17"/>
      <c r="D17" s="17"/>
      <c r="E17" s="17"/>
      <c r="F17" s="18"/>
      <c r="G17" s="19"/>
      <c r="H17" s="19"/>
      <c r="I17" s="20"/>
      <c r="J17" s="21"/>
      <c r="K17" s="21"/>
    </row>
    <row r="18" spans="1:11" ht="14.1" customHeight="1" x14ac:dyDescent="0.3">
      <c r="A18" s="25"/>
      <c r="B18" s="26"/>
      <c r="C18" s="17"/>
      <c r="D18" s="17"/>
      <c r="E18" s="17"/>
      <c r="F18" s="27"/>
      <c r="G18" s="19"/>
      <c r="H18" s="19"/>
      <c r="I18" s="20"/>
      <c r="J18" s="24"/>
      <c r="K18" s="24"/>
    </row>
    <row r="19" spans="1:11" ht="11.25" customHeight="1" x14ac:dyDescent="0.2">
      <c r="A19" s="22"/>
      <c r="B19" s="23"/>
      <c r="C19" s="28"/>
      <c r="D19" s="28"/>
      <c r="E19" s="28"/>
      <c r="F19" s="18"/>
      <c r="G19" s="19"/>
      <c r="H19" s="19"/>
      <c r="I19" s="20"/>
      <c r="J19" s="24"/>
      <c r="K19" s="24"/>
    </row>
    <row r="20" spans="1:11" ht="11.25" customHeight="1" x14ac:dyDescent="0.2">
      <c r="A20" s="22"/>
      <c r="B20" s="29"/>
      <c r="C20" s="28"/>
      <c r="D20" s="28"/>
      <c r="E20" s="28"/>
      <c r="F20" s="18"/>
      <c r="G20" s="19"/>
      <c r="H20" s="19"/>
      <c r="I20" s="20"/>
      <c r="J20" s="24"/>
      <c r="K20" s="24"/>
    </row>
    <row r="21" spans="1:11" ht="11.25" customHeight="1" x14ac:dyDescent="0.2">
      <c r="A21" s="22"/>
      <c r="B21" s="23"/>
      <c r="C21" s="28"/>
      <c r="D21" s="28"/>
      <c r="E21" s="28"/>
      <c r="F21" s="18"/>
      <c r="G21" s="19"/>
      <c r="H21" s="19"/>
      <c r="I21" s="20"/>
      <c r="J21" s="24"/>
      <c r="K21" s="24"/>
    </row>
    <row r="22" spans="1:11" ht="11.25" customHeight="1" x14ac:dyDescent="0.2">
      <c r="A22" s="22"/>
      <c r="B22" s="23"/>
      <c r="C22" s="17"/>
      <c r="D22" s="17"/>
      <c r="E22" s="17"/>
      <c r="F22" s="18"/>
      <c r="G22" s="19"/>
      <c r="H22" s="19"/>
      <c r="I22" s="20"/>
      <c r="J22" s="24"/>
      <c r="K22" s="24"/>
    </row>
    <row r="23" spans="1:11" ht="11.25" customHeight="1" x14ac:dyDescent="0.2">
      <c r="A23" s="22"/>
      <c r="B23" s="23"/>
      <c r="C23" s="30"/>
      <c r="D23" s="30"/>
      <c r="E23" s="30"/>
      <c r="F23" s="18"/>
      <c r="G23" s="19"/>
      <c r="H23" s="19"/>
      <c r="I23" s="20"/>
      <c r="J23" s="24"/>
      <c r="K23" s="24"/>
    </row>
    <row r="24" spans="1:11" ht="11.25" customHeight="1" x14ac:dyDescent="0.2">
      <c r="A24" s="22"/>
      <c r="B24" s="23"/>
      <c r="C24" s="30"/>
      <c r="D24" s="30"/>
      <c r="E24" s="30"/>
      <c r="F24" s="18"/>
      <c r="G24" s="19"/>
      <c r="H24" s="19"/>
      <c r="I24" s="20"/>
      <c r="J24" s="24"/>
      <c r="K24" s="24"/>
    </row>
    <row r="25" spans="1:11" ht="11.25" customHeight="1" x14ac:dyDescent="0.2">
      <c r="A25" s="22"/>
      <c r="B25" s="23"/>
      <c r="C25" s="17"/>
      <c r="D25" s="17"/>
      <c r="E25" s="17"/>
      <c r="F25" s="18"/>
      <c r="G25" s="19"/>
      <c r="H25" s="19"/>
      <c r="I25" s="20"/>
      <c r="J25" s="24"/>
      <c r="K25" s="24"/>
    </row>
    <row r="26" spans="1:11" ht="11.25" customHeight="1" x14ac:dyDescent="0.2">
      <c r="A26" s="31"/>
      <c r="B26" s="32"/>
      <c r="C26" s="33"/>
      <c r="D26" s="33"/>
      <c r="E26" s="33"/>
      <c r="F26" s="34"/>
      <c r="G26" s="35"/>
      <c r="H26" s="35"/>
      <c r="I26" s="36"/>
    </row>
    <row r="27" spans="1:11" ht="11.25" customHeight="1" x14ac:dyDescent="0.2">
      <c r="A27" s="31"/>
      <c r="B27" s="32"/>
      <c r="C27" s="37"/>
      <c r="D27" s="37"/>
      <c r="E27" s="37"/>
      <c r="F27" s="34"/>
      <c r="G27" s="35"/>
      <c r="H27" s="35"/>
      <c r="I27" s="36"/>
    </row>
    <row r="28" spans="1:11" ht="11.25" customHeight="1" x14ac:dyDescent="0.2">
      <c r="A28" s="31"/>
      <c r="B28" s="32"/>
      <c r="C28" s="33"/>
      <c r="D28" s="33"/>
      <c r="E28" s="33"/>
      <c r="F28" s="34"/>
      <c r="G28" s="35"/>
      <c r="H28" s="35"/>
      <c r="I28" s="36"/>
    </row>
    <row r="29" spans="1:11" ht="11.25" customHeight="1" x14ac:dyDescent="0.2">
      <c r="A29" s="31"/>
      <c r="B29" s="32"/>
      <c r="C29" s="33"/>
      <c r="D29" s="33"/>
      <c r="E29" s="33"/>
      <c r="F29" s="34"/>
      <c r="G29" s="35"/>
      <c r="H29" s="35"/>
      <c r="I29" s="36"/>
    </row>
    <row r="30" spans="1:11" ht="11.25" customHeight="1" x14ac:dyDescent="0.2">
      <c r="A30" s="31"/>
      <c r="B30" s="32"/>
      <c r="C30" s="33"/>
      <c r="D30" s="33"/>
      <c r="E30" s="33"/>
      <c r="F30" s="34"/>
      <c r="G30" s="35"/>
      <c r="H30" s="35"/>
      <c r="I30" s="36"/>
    </row>
    <row r="31" spans="1:11" ht="11.25" customHeight="1" x14ac:dyDescent="0.3">
      <c r="A31" s="38"/>
      <c r="B31" s="32"/>
      <c r="C31" s="33"/>
      <c r="D31" s="33"/>
      <c r="E31" s="33"/>
      <c r="F31" s="39"/>
      <c r="G31" s="35"/>
      <c r="H31" s="35"/>
      <c r="I31" s="36"/>
    </row>
    <row r="32" spans="1:11" ht="11.25" customHeight="1" x14ac:dyDescent="0.3">
      <c r="A32" s="38"/>
      <c r="B32" s="32"/>
      <c r="C32" s="40"/>
      <c r="D32" s="40"/>
      <c r="E32" s="40"/>
      <c r="F32" s="41"/>
      <c r="H32" s="42"/>
      <c r="I32" s="43"/>
    </row>
    <row r="33" spans="1:18" x14ac:dyDescent="0.3">
      <c r="C33" s="44"/>
      <c r="D33" s="44"/>
      <c r="E33" s="44"/>
      <c r="I33" s="1" t="s">
        <v>22</v>
      </c>
    </row>
    <row r="35" spans="1:18" ht="12.75" customHeight="1" x14ac:dyDescent="0.3">
      <c r="A35" s="45" t="s">
        <v>23</v>
      </c>
      <c r="B35" s="46">
        <f>SUM(A14:A32)</f>
        <v>1</v>
      </c>
      <c r="F35" s="47"/>
      <c r="G35" s="47"/>
      <c r="I35" s="48">
        <f>SUM(I14:I31)</f>
        <v>43.103400000000001</v>
      </c>
      <c r="R35" s="43"/>
    </row>
    <row r="36" spans="1:18" x14ac:dyDescent="0.3">
      <c r="A36" s="11" t="s">
        <v>24</v>
      </c>
      <c r="B36" s="11"/>
      <c r="C36" s="47"/>
      <c r="D36" s="47"/>
      <c r="E36" s="47"/>
      <c r="F36" s="11"/>
      <c r="G36" s="11"/>
      <c r="I36" s="48">
        <f>I35*0.16</f>
        <v>6.8965440000000005</v>
      </c>
    </row>
    <row r="37" spans="1:18" x14ac:dyDescent="0.3">
      <c r="A37" s="11" t="s">
        <v>25</v>
      </c>
      <c r="C37" s="11"/>
      <c r="D37" s="11"/>
      <c r="E37" s="11"/>
      <c r="F37" s="11"/>
      <c r="G37" s="11"/>
      <c r="I37" s="48">
        <f>SUM(I35:I36)</f>
        <v>49.999943999999999</v>
      </c>
    </row>
    <row r="38" spans="1:18" x14ac:dyDescent="0.3">
      <c r="A38" s="1" t="s">
        <v>22</v>
      </c>
      <c r="D38" s="11"/>
      <c r="E38" s="11"/>
    </row>
    <row r="65" spans="3:7" x14ac:dyDescent="0.3">
      <c r="F65" s="49"/>
      <c r="G65" s="49"/>
    </row>
    <row r="66" spans="3:7" x14ac:dyDescent="0.3">
      <c r="C66" s="49" t="s">
        <v>26</v>
      </c>
      <c r="D66" s="49"/>
      <c r="E66" s="49"/>
    </row>
    <row r="67" spans="3:7" x14ac:dyDescent="0.3">
      <c r="C67" s="1" t="s">
        <v>27</v>
      </c>
    </row>
  </sheetData>
  <mergeCells count="55">
    <mergeCell ref="C31:E31"/>
    <mergeCell ref="G31:H31"/>
    <mergeCell ref="C33:E33"/>
    <mergeCell ref="G27:H27"/>
    <mergeCell ref="C28:E28"/>
    <mergeCell ref="G28:H28"/>
    <mergeCell ref="C29:E29"/>
    <mergeCell ref="G29:H29"/>
    <mergeCell ref="C30:E30"/>
    <mergeCell ref="G30:H30"/>
    <mergeCell ref="C24:E24"/>
    <mergeCell ref="G24:H24"/>
    <mergeCell ref="C25:E25"/>
    <mergeCell ref="G25:H25"/>
    <mergeCell ref="C26:E26"/>
    <mergeCell ref="G26:H26"/>
    <mergeCell ref="C21:E21"/>
    <mergeCell ref="G21:H21"/>
    <mergeCell ref="C22:E22"/>
    <mergeCell ref="G22:H22"/>
    <mergeCell ref="C23:E23"/>
    <mergeCell ref="G23:H23"/>
    <mergeCell ref="C18:E18"/>
    <mergeCell ref="G18:H18"/>
    <mergeCell ref="C19:E19"/>
    <mergeCell ref="G19:H19"/>
    <mergeCell ref="C20:E20"/>
    <mergeCell ref="G20:H20"/>
    <mergeCell ref="C15:E15"/>
    <mergeCell ref="G15:H15"/>
    <mergeCell ref="J15:K15"/>
    <mergeCell ref="C16:E16"/>
    <mergeCell ref="G16:H16"/>
    <mergeCell ref="C17:E17"/>
    <mergeCell ref="G17:H17"/>
    <mergeCell ref="J17:K17"/>
    <mergeCell ref="A11:C11"/>
    <mergeCell ref="C13:E13"/>
    <mergeCell ref="G13:H13"/>
    <mergeCell ref="J13:K13"/>
    <mergeCell ref="C14:E14"/>
    <mergeCell ref="G14:H14"/>
    <mergeCell ref="J14:K14"/>
    <mergeCell ref="A8:C8"/>
    <mergeCell ref="E8:K8"/>
    <mergeCell ref="A9:C9"/>
    <mergeCell ref="E9:K9"/>
    <mergeCell ref="A10:C10"/>
    <mergeCell ref="E10:K10"/>
    <mergeCell ref="D1:H3"/>
    <mergeCell ref="I1:K1"/>
    <mergeCell ref="A6:C6"/>
    <mergeCell ref="E6:K6"/>
    <mergeCell ref="A7:C7"/>
    <mergeCell ref="E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2026-05-25T18:50:31Z</dcterms:modified>
</cp:coreProperties>
</file>